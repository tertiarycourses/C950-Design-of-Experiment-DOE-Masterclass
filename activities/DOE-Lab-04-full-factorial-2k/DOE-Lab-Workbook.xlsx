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'Instructions'!$A$1:$C$15</definedName>
    <definedName name="_xlnm._FilterDatabase" localSheetId="1" hidden="1">'Raw_Data'!$A$1:$F$9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04</t>
        </is>
      </c>
      <c r="B1" s="1" t="inlineStr">
        <is>
          <t>Model a 2³ Composite Bonding Experiment</t>
        </is>
      </c>
      <c r="C1" s="1" t="n"/>
    </row>
    <row r="2">
      <c r="A2" s="2" t="inlineStr">
        <is>
          <t>Criterion</t>
        </is>
      </c>
      <c r="B2" s="2" t="inlineStr">
        <is>
          <t>K1 · K2 · A1 · A2</t>
        </is>
      </c>
      <c r="C2" s="2" t="n"/>
    </row>
    <row r="3">
      <c r="A3" s="2" t="inlineStr">
        <is>
          <t>NovaDOE method</t>
        </is>
      </c>
      <c r="B3" s="2" t="inlineStr">
        <is>
          <t>NovaDOE full factorial</t>
        </is>
      </c>
      <c r="C3" s="2" t="n"/>
    </row>
    <row r="4">
      <c r="A4" s="2" t="inlineStr">
        <is>
          <t>Response</t>
        </is>
      </c>
      <c r="B4" s="2" t="inlineStr">
        <is>
          <t>Bond strength (MPa)</t>
        </is>
      </c>
      <c r="C4" s="2" t="n"/>
    </row>
    <row r="5">
      <c r="A5" s="2" t="inlineStr">
        <is>
          <t>Scenario</t>
        </is>
      </c>
      <c r="B5" s="2" t="inlineStr">
        <is>
          <t>A bonding team studies temperature, pressure and surface preparation to maximise joint strength.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Choose Full Factorial and add three factors.</t>
        </is>
      </c>
      <c r="C8" s="2" t="inlineStr">
        <is>
          <t>Use two numeric and one categorical factor.</t>
        </is>
      </c>
    </row>
    <row r="9">
      <c r="A9" s="2" t="n">
        <v>2</v>
      </c>
      <c r="B9" s="2" t="inlineStr">
        <is>
          <t>Generate the eight-run design and export CSV.</t>
        </is>
      </c>
      <c r="C9" s="2" t="inlineStr">
        <is>
          <t>Verify 2³ = 8 unique treatment combinations.</t>
        </is>
      </c>
    </row>
    <row r="10">
      <c r="A10" s="2" t="n">
        <v>3</v>
      </c>
      <c r="B10" s="2" t="inlineStr">
        <is>
          <t>Join the response values from mock-data.csv.</t>
        </is>
      </c>
      <c r="C10" s="2" t="inlineStr">
        <is>
          <t>Preserve RunOrder and StandardOrder.</t>
        </is>
      </c>
    </row>
    <row r="11">
      <c r="A11" s="2" t="n">
        <v>4</v>
      </c>
      <c r="B11" s="2" t="inlineStr">
        <is>
          <t>Code numeric and categorical low/high levels as -1/+1.</t>
        </is>
      </c>
      <c r="C11" s="2" t="inlineStr">
        <is>
          <t>Document the coding table.</t>
        </is>
      </c>
    </row>
    <row r="12">
      <c r="A12" s="2" t="n">
        <v>5</v>
      </c>
      <c r="B12" s="2" t="inlineStr">
        <is>
          <t>Calculate A, B, C, AB, AC, BC and ABC contrast estimates.</t>
        </is>
      </c>
      <c r="C12" s="2" t="inlineStr">
        <is>
          <t>Use auditable worksheet formulas.</t>
        </is>
      </c>
    </row>
    <row r="13">
      <c r="A13" s="2" t="n">
        <v>6</v>
      </c>
      <c r="B13" s="2" t="inlineStr">
        <is>
          <t>Build a Pareto-style effect chart.</t>
        </is>
      </c>
      <c r="C13" s="2" t="inlineStr">
        <is>
          <t>Label effect magnitudes and direction separately.</t>
        </is>
      </c>
    </row>
    <row r="14">
      <c r="A14" s="2" t="n">
        <v>7</v>
      </c>
      <c r="B14" s="2" t="inlineStr">
        <is>
          <t>Fit a hierarchical coded regression model.</t>
        </is>
      </c>
      <c r="C14" s="2" t="inlineStr">
        <is>
          <t>Inspect residuals before reducing terms.</t>
        </is>
      </c>
    </row>
    <row r="15">
      <c r="A15" s="2" t="n">
        <v>8</v>
      </c>
      <c r="B15" s="2" t="inlineStr">
        <is>
          <t>Predict and confirm the proposed operating combination.</t>
        </is>
      </c>
      <c r="C15" s="2" t="inlineStr">
        <is>
          <t>State limits of the two-level region.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Temperature (°C)</t>
        </is>
      </c>
      <c r="D1" s="1" t="inlineStr">
        <is>
          <t>Pressure (bar)</t>
        </is>
      </c>
      <c r="E1" s="1" t="inlineStr">
        <is>
          <t>Surface prep</t>
        </is>
      </c>
      <c r="F1" s="1" t="inlineStr">
        <is>
          <t>Bond_strength_MPa</t>
        </is>
      </c>
    </row>
    <row r="2">
      <c r="A2" s="2" t="n">
        <v>1</v>
      </c>
      <c r="B2" s="2" t="n">
        <v>6</v>
      </c>
      <c r="C2" s="2" t="n">
        <v>120</v>
      </c>
      <c r="D2" s="2" t="n">
        <v>2</v>
      </c>
      <c r="E2" s="2" t="inlineStr">
        <is>
          <t>Solvent</t>
        </is>
      </c>
      <c r="F2" s="2" t="n">
        <v>18</v>
      </c>
    </row>
    <row r="3">
      <c r="A3" s="2" t="n">
        <v>2</v>
      </c>
      <c r="B3" s="2" t="n">
        <v>3</v>
      </c>
      <c r="C3" s="2" t="n">
        <v>120</v>
      </c>
      <c r="D3" s="2" t="n">
        <v>2</v>
      </c>
      <c r="E3" s="2" t="inlineStr">
        <is>
          <t>Plasma</t>
        </is>
      </c>
      <c r="F3" s="2" t="n">
        <v>23</v>
      </c>
    </row>
    <row r="4">
      <c r="A4" s="2" t="n">
        <v>3</v>
      </c>
      <c r="B4" s="2" t="n">
        <v>2</v>
      </c>
      <c r="C4" s="2" t="n">
        <v>120</v>
      </c>
      <c r="D4" s="2" t="n">
        <v>6</v>
      </c>
      <c r="E4" s="2" t="inlineStr">
        <is>
          <t>Solvent</t>
        </is>
      </c>
      <c r="F4" s="2" t="n">
        <v>22.4</v>
      </c>
    </row>
    <row r="5">
      <c r="A5" s="2" t="n">
        <v>4</v>
      </c>
      <c r="B5" s="2" t="n">
        <v>1</v>
      </c>
      <c r="C5" s="2" t="n">
        <v>120</v>
      </c>
      <c r="D5" s="2" t="n">
        <v>6</v>
      </c>
      <c r="E5" s="2" t="inlineStr">
        <is>
          <t>Plasma</t>
        </is>
      </c>
      <c r="F5" s="2" t="n">
        <v>27.4</v>
      </c>
    </row>
    <row r="6">
      <c r="A6" s="2" t="n">
        <v>5</v>
      </c>
      <c r="B6" s="2" t="n">
        <v>7</v>
      </c>
      <c r="C6" s="2" t="n">
        <v>160</v>
      </c>
      <c r="D6" s="2" t="n">
        <v>2</v>
      </c>
      <c r="E6" s="2" t="inlineStr">
        <is>
          <t>Solvent</t>
        </is>
      </c>
      <c r="F6" s="2" t="n">
        <v>24.4</v>
      </c>
    </row>
    <row r="7">
      <c r="A7" s="2" t="n">
        <v>6</v>
      </c>
      <c r="B7" s="2" t="n">
        <v>4</v>
      </c>
      <c r="C7" s="2" t="n">
        <v>160</v>
      </c>
      <c r="D7" s="2" t="n">
        <v>2</v>
      </c>
      <c r="E7" s="2" t="inlineStr">
        <is>
          <t>Plasma</t>
        </is>
      </c>
      <c r="F7" s="2" t="n">
        <v>29.4</v>
      </c>
    </row>
    <row r="8">
      <c r="A8" s="2" t="n">
        <v>7</v>
      </c>
      <c r="B8" s="2" t="n">
        <v>8</v>
      </c>
      <c r="C8" s="2" t="n">
        <v>160</v>
      </c>
      <c r="D8" s="2" t="n">
        <v>6</v>
      </c>
      <c r="E8" s="2" t="inlineStr">
        <is>
          <t>Solvent</t>
        </is>
      </c>
      <c r="F8" s="2" t="n">
        <v>36.8</v>
      </c>
    </row>
    <row r="9">
      <c r="A9" s="2" t="n">
        <v>8</v>
      </c>
      <c r="B9" s="2" t="n">
        <v>5</v>
      </c>
      <c r="C9" s="2" t="n">
        <v>160</v>
      </c>
      <c r="D9" s="2" t="n">
        <v>6</v>
      </c>
      <c r="E9" s="2" t="inlineStr">
        <is>
          <t>Plasma</t>
        </is>
      </c>
      <c r="F9" s="2" t="n">
        <v>41.8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COUNTA(Raw_Data!A2:A9)</f>
        <v/>
      </c>
    </row>
    <row r="3">
      <c r="A3" s="2" t="inlineStr">
        <is>
          <t>Response mean</t>
        </is>
      </c>
      <c r="B3" s="2">
        <f>AVERAGE(Raw_Data!F2:F9)</f>
        <v/>
      </c>
    </row>
    <row r="4">
      <c r="A4" s="2" t="inlineStr">
        <is>
          <t>Minimum</t>
        </is>
      </c>
      <c r="B4" s="2">
        <f>MIN(Raw_Data!F2:F9)</f>
        <v/>
      </c>
    </row>
    <row r="5">
      <c r="A5" s="2" t="inlineStr">
        <is>
          <t>Maximum</t>
        </is>
      </c>
      <c r="B5" s="2">
        <f>MAX(Raw_Data!F2:F9)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