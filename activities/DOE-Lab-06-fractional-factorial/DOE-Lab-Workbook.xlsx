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Evidence" sheetId="4" state="visible" r:id="rId4"/>
  </sheets>
  <definedNames>
    <definedName name="_xlnm._FilterDatabase" localSheetId="0" hidden="1">'Instructions'!$A$1:$C$15</definedName>
    <definedName name="_xlnm._FilterDatabase" localSheetId="1" hidden="1">'Raw_Data'!$A$1:$H$17</definedName>
    <definedName name="_xlnm._FilterDatabase" localSheetId="2" hidden="1">'Analysis'!$A$1:$B$7</definedName>
    <definedName name="_xlnm._FilterDatabase" localSheetId="3" hidden="1">'Evidence'!$A$1:$C$6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61B26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DOE Lab 06</t>
        </is>
      </c>
      <c r="B1" s="1" t="inlineStr">
        <is>
          <t>Screen Five Factors with a Resolution V Half Fraction</t>
        </is>
      </c>
      <c r="C1" s="1" t="n"/>
    </row>
    <row r="2">
      <c r="A2" s="2" t="inlineStr">
        <is>
          <t>Criterion</t>
        </is>
      </c>
      <c r="B2" s="2" t="inlineStr">
        <is>
          <t>K2 · K3 · A2 · A3 · A4</t>
        </is>
      </c>
      <c r="C2" s="2" t="n"/>
    </row>
    <row r="3">
      <c r="A3" s="2" t="inlineStr">
        <is>
          <t>NovaDOE method</t>
        </is>
      </c>
      <c r="B3" s="2" t="inlineStr">
        <is>
          <t>NovaDOE fractional factorial</t>
        </is>
      </c>
      <c r="C3" s="2" t="n"/>
    </row>
    <row r="4">
      <c r="A4" s="2" t="inlineStr">
        <is>
          <t>Response</t>
        </is>
      </c>
      <c r="B4" s="2" t="inlineStr">
        <is>
          <t>Defect rate (%)</t>
        </is>
      </c>
      <c r="C4" s="2" t="n"/>
    </row>
    <row r="5">
      <c r="A5" s="2" t="inlineStr">
        <is>
          <t>Scenario</t>
        </is>
      </c>
      <c r="B5" s="2" t="inlineStr">
        <is>
          <t>A polymer extrusion team has five controllable factors but only 16 safe pilot runs.</t>
        </is>
      </c>
      <c r="C5" s="2" t="n"/>
    </row>
    <row r="6">
      <c r="A6" s="2" t="n"/>
      <c r="B6" s="2" t="n"/>
      <c r="C6" s="2" t="n"/>
    </row>
    <row r="7">
      <c r="A7" s="2" t="inlineStr">
        <is>
          <t>Detailed procedure</t>
        </is>
      </c>
      <c r="B7" s="2" t="inlineStr">
        <is>
          <t>See README.md and Learner Guide; procedures are intentionally not placed in the slide deck.</t>
        </is>
      </c>
      <c r="C7" s="2" t="n"/>
    </row>
    <row r="8">
      <c r="A8" s="2" t="n">
        <v>1</v>
      </c>
      <c r="B8" s="2" t="inlineStr">
        <is>
          <t>Select Fractional Factorial in NovaDOE.</t>
        </is>
      </c>
      <c r="C8" s="2" t="inlineStr">
        <is>
          <t>Add five numeric factors with safe low/high limits.</t>
        </is>
      </c>
    </row>
    <row r="9">
      <c r="A9" s="2" t="n">
        <v>2</v>
      </c>
      <c r="B9" s="2" t="inlineStr">
        <is>
          <t>Choose a 16-run fraction and record the displayed resolution.</t>
        </is>
      </c>
      <c r="C9" s="2" t="inlineStr">
        <is>
          <t>Target Resolution V where supported.</t>
        </is>
      </c>
    </row>
    <row r="10">
      <c r="A10" s="2" t="n">
        <v>3</v>
      </c>
      <c r="B10" s="2" t="inlineStr">
        <is>
          <t>Generate and export the design CSV.</t>
        </is>
      </c>
      <c r="C10" s="2" t="inlineStr">
        <is>
          <t>Save the NovaDOE setup in browser storage as well.</t>
        </is>
      </c>
    </row>
    <row r="11">
      <c r="A11" s="2" t="n">
        <v>4</v>
      </c>
      <c r="B11" s="2" t="inlineStr">
        <is>
          <t>Import the mock response and code factor levels.</t>
        </is>
      </c>
      <c r="C11" s="2" t="inlineStr">
        <is>
          <t>Lower defect rate is better.</t>
        </is>
      </c>
    </row>
    <row r="12">
      <c r="A12" s="2" t="n">
        <v>5</v>
      </c>
      <c r="B12" s="2" t="inlineStr">
        <is>
          <t>Calculate main-effect contrasts.</t>
        </is>
      </c>
      <c r="C12" s="2" t="inlineStr">
        <is>
          <t>Rank absolute effects and retain signs.</t>
        </is>
      </c>
    </row>
    <row r="13">
      <c r="A13" s="2" t="n">
        <v>6</v>
      </c>
      <c r="B13" s="2" t="inlineStr">
        <is>
          <t>Write the generator and alias interpretation in the workbook.</t>
        </is>
      </c>
      <c r="C13" s="2" t="inlineStr">
        <is>
          <t>If NovaDOE does not display aliases, document the assumed generator from the exported matrix.</t>
        </is>
      </c>
    </row>
    <row r="14">
      <c r="A14" s="2" t="n">
        <v>7</v>
      </c>
      <c r="B14" s="2" t="inlineStr">
        <is>
          <t>Select factors for a confirmation experiment.</t>
        </is>
      </c>
      <c r="C14" s="2" t="inlineStr">
        <is>
          <t>Use magnitude, feasibility and engineering plausibility.</t>
        </is>
      </c>
    </row>
    <row r="15">
      <c r="A15" s="2" t="n">
        <v>8</v>
      </c>
      <c r="B15" s="2" t="inlineStr">
        <is>
          <t>Plan confirmation and possible foldover runs.</t>
        </is>
      </c>
      <c r="C15" s="2" t="inlineStr">
        <is>
          <t>Define expected improvement and acceptance threshold.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StandardOrder</t>
        </is>
      </c>
      <c r="B1" s="1" t="inlineStr">
        <is>
          <t>RunOrder</t>
        </is>
      </c>
      <c r="C1" s="1" t="inlineStr">
        <is>
          <t>Factor_A</t>
        </is>
      </c>
      <c r="D1" s="1" t="inlineStr">
        <is>
          <t>Factor_B</t>
        </is>
      </c>
      <c r="E1" s="1" t="inlineStr">
        <is>
          <t>Factor_C</t>
        </is>
      </c>
      <c r="F1" s="1" t="inlineStr">
        <is>
          <t>Factor_D</t>
        </is>
      </c>
      <c r="G1" s="1" t="inlineStr">
        <is>
          <t>Factor_E</t>
        </is>
      </c>
      <c r="H1" s="1" t="inlineStr">
        <is>
          <t>Defect_rate</t>
        </is>
      </c>
    </row>
    <row r="2">
      <c r="A2" s="2" t="n">
        <v>1</v>
      </c>
      <c r="B2" s="2" t="n">
        <v>9</v>
      </c>
      <c r="C2" s="2" t="n">
        <v>-1</v>
      </c>
      <c r="D2" s="2" t="n">
        <v>-1</v>
      </c>
      <c r="E2" s="2" t="n">
        <v>-1</v>
      </c>
      <c r="F2" s="2" t="n">
        <v>-1</v>
      </c>
      <c r="G2" s="2" t="n">
        <v>1</v>
      </c>
      <c r="H2" s="2" t="n">
        <v>8.593999999999999</v>
      </c>
    </row>
    <row r="3">
      <c r="A3" s="2" t="n">
        <v>2</v>
      </c>
      <c r="B3" s="2" t="n">
        <v>11</v>
      </c>
      <c r="C3" s="2" t="n">
        <v>-1</v>
      </c>
      <c r="D3" s="2" t="n">
        <v>-1</v>
      </c>
      <c r="E3" s="2" t="n">
        <v>-1</v>
      </c>
      <c r="F3" s="2" t="n">
        <v>1</v>
      </c>
      <c r="G3" s="2" t="n">
        <v>-1</v>
      </c>
      <c r="H3" s="2" t="n">
        <v>6.565</v>
      </c>
    </row>
    <row r="4">
      <c r="A4" s="2" t="n">
        <v>3</v>
      </c>
      <c r="B4" s="2" t="n">
        <v>16</v>
      </c>
      <c r="C4" s="2" t="n">
        <v>-1</v>
      </c>
      <c r="D4" s="2" t="n">
        <v>-1</v>
      </c>
      <c r="E4" s="2" t="n">
        <v>1</v>
      </c>
      <c r="F4" s="2" t="n">
        <v>-1</v>
      </c>
      <c r="G4" s="2" t="n">
        <v>-1</v>
      </c>
      <c r="H4" s="2" t="n">
        <v>9.82</v>
      </c>
    </row>
    <row r="5">
      <c r="A5" s="2" t="n">
        <v>4</v>
      </c>
      <c r="B5" s="2" t="n">
        <v>12</v>
      </c>
      <c r="C5" s="2" t="n">
        <v>-1</v>
      </c>
      <c r="D5" s="2" t="n">
        <v>-1</v>
      </c>
      <c r="E5" s="2" t="n">
        <v>1</v>
      </c>
      <c r="F5" s="2" t="n">
        <v>1</v>
      </c>
      <c r="G5" s="2" t="n">
        <v>1</v>
      </c>
      <c r="H5" s="2" t="n">
        <v>6.688</v>
      </c>
    </row>
    <row r="6">
      <c r="A6" s="2" t="n">
        <v>5</v>
      </c>
      <c r="B6" s="2" t="n">
        <v>8</v>
      </c>
      <c r="C6" s="2" t="n">
        <v>-1</v>
      </c>
      <c r="D6" s="2" t="n">
        <v>1</v>
      </c>
      <c r="E6" s="2" t="n">
        <v>-1</v>
      </c>
      <c r="F6" s="2" t="n">
        <v>-1</v>
      </c>
      <c r="G6" s="2" t="n">
        <v>-1</v>
      </c>
      <c r="H6" s="2" t="n">
        <v>7.816</v>
      </c>
    </row>
    <row r="7">
      <c r="A7" s="2" t="n">
        <v>6</v>
      </c>
      <c r="B7" s="2" t="n">
        <v>4</v>
      </c>
      <c r="C7" s="2" t="n">
        <v>-1</v>
      </c>
      <c r="D7" s="2" t="n">
        <v>1</v>
      </c>
      <c r="E7" s="2" t="n">
        <v>-1</v>
      </c>
      <c r="F7" s="2" t="n">
        <v>1</v>
      </c>
      <c r="G7" s="2" t="n">
        <v>1</v>
      </c>
      <c r="H7" s="2" t="n">
        <v>4.963</v>
      </c>
    </row>
    <row r="8">
      <c r="A8" s="2" t="n">
        <v>7</v>
      </c>
      <c r="B8" s="2" t="n">
        <v>3</v>
      </c>
      <c r="C8" s="2" t="n">
        <v>-1</v>
      </c>
      <c r="D8" s="2" t="n">
        <v>1</v>
      </c>
      <c r="E8" s="2" t="n">
        <v>1</v>
      </c>
      <c r="F8" s="2" t="n">
        <v>-1</v>
      </c>
      <c r="G8" s="2" t="n">
        <v>1</v>
      </c>
      <c r="H8" s="2" t="n">
        <v>7.46</v>
      </c>
    </row>
    <row r="9">
      <c r="A9" s="2" t="n">
        <v>8</v>
      </c>
      <c r="B9" s="2" t="n">
        <v>7</v>
      </c>
      <c r="C9" s="2" t="n">
        <v>-1</v>
      </c>
      <c r="D9" s="2" t="n">
        <v>1</v>
      </c>
      <c r="E9" s="2" t="n">
        <v>1</v>
      </c>
      <c r="F9" s="2" t="n">
        <v>1</v>
      </c>
      <c r="G9" s="2" t="n">
        <v>-1</v>
      </c>
      <c r="H9" s="2" t="n">
        <v>5.656</v>
      </c>
    </row>
    <row r="10">
      <c r="A10" s="2" t="n">
        <v>9</v>
      </c>
      <c r="B10" s="2" t="n">
        <v>14</v>
      </c>
      <c r="C10" s="2" t="n">
        <v>1</v>
      </c>
      <c r="D10" s="2" t="n">
        <v>-1</v>
      </c>
      <c r="E10" s="2" t="n">
        <v>-1</v>
      </c>
      <c r="F10" s="2" t="n">
        <v>-1</v>
      </c>
      <c r="G10" s="2" t="n">
        <v>-1</v>
      </c>
      <c r="H10" s="2" t="n">
        <v>5.645</v>
      </c>
    </row>
    <row r="11">
      <c r="A11" s="2" t="n">
        <v>10</v>
      </c>
      <c r="B11" s="2" t="n">
        <v>15</v>
      </c>
      <c r="C11" s="2" t="n">
        <v>1</v>
      </c>
      <c r="D11" s="2" t="n">
        <v>-1</v>
      </c>
      <c r="E11" s="2" t="n">
        <v>-1</v>
      </c>
      <c r="F11" s="2" t="n">
        <v>1</v>
      </c>
      <c r="G11" s="2" t="n">
        <v>1</v>
      </c>
      <c r="H11" s="2" t="n">
        <v>3.998</v>
      </c>
    </row>
    <row r="12">
      <c r="A12" s="2" t="n">
        <v>11</v>
      </c>
      <c r="B12" s="2" t="n">
        <v>2</v>
      </c>
      <c r="C12" s="2" t="n">
        <v>1</v>
      </c>
      <c r="D12" s="2" t="n">
        <v>-1</v>
      </c>
      <c r="E12" s="2" t="n">
        <v>1</v>
      </c>
      <c r="F12" s="2" t="n">
        <v>-1</v>
      </c>
      <c r="G12" s="2" t="n">
        <v>1</v>
      </c>
      <c r="H12" s="2" t="n">
        <v>5.734</v>
      </c>
    </row>
    <row r="13">
      <c r="A13" s="2" t="n">
        <v>12</v>
      </c>
      <c r="B13" s="2" t="n">
        <v>6</v>
      </c>
      <c r="C13" s="2" t="n">
        <v>1</v>
      </c>
      <c r="D13" s="2" t="n">
        <v>-1</v>
      </c>
      <c r="E13" s="2" t="n">
        <v>1</v>
      </c>
      <c r="F13" s="2" t="n">
        <v>1</v>
      </c>
      <c r="G13" s="2" t="n">
        <v>-1</v>
      </c>
      <c r="H13" s="2" t="n">
        <v>5.243</v>
      </c>
    </row>
    <row r="14">
      <c r="A14" s="2" t="n">
        <v>13</v>
      </c>
      <c r="B14" s="2" t="n">
        <v>13</v>
      </c>
      <c r="C14" s="2" t="n">
        <v>1</v>
      </c>
      <c r="D14" s="2" t="n">
        <v>1</v>
      </c>
      <c r="E14" s="2" t="n">
        <v>-1</v>
      </c>
      <c r="F14" s="2" t="n">
        <v>-1</v>
      </c>
      <c r="G14" s="2" t="n">
        <v>1</v>
      </c>
      <c r="H14" s="2" t="n">
        <v>3.534</v>
      </c>
    </row>
    <row r="15">
      <c r="A15" s="2" t="n">
        <v>14</v>
      </c>
      <c r="B15" s="2" t="n">
        <v>10</v>
      </c>
      <c r="C15" s="2" t="n">
        <v>1</v>
      </c>
      <c r="D15" s="2" t="n">
        <v>1</v>
      </c>
      <c r="E15" s="2" t="n">
        <v>-1</v>
      </c>
      <c r="F15" s="2" t="n">
        <v>1</v>
      </c>
      <c r="G15" s="2" t="n">
        <v>-1</v>
      </c>
      <c r="H15" s="2" t="n">
        <v>3.178</v>
      </c>
    </row>
    <row r="16">
      <c r="A16" s="2" t="n">
        <v>15</v>
      </c>
      <c r="B16" s="2" t="n">
        <v>5</v>
      </c>
      <c r="C16" s="2" t="n">
        <v>1</v>
      </c>
      <c r="D16" s="2" t="n">
        <v>1</v>
      </c>
      <c r="E16" s="2" t="n">
        <v>1</v>
      </c>
      <c r="F16" s="2" t="n">
        <v>-1</v>
      </c>
      <c r="G16" s="2" t="n">
        <v>-1</v>
      </c>
      <c r="H16" s="2" t="n">
        <v>4.593</v>
      </c>
    </row>
    <row r="17">
      <c r="A17" s="2" t="n">
        <v>16</v>
      </c>
      <c r="B17" s="2" t="n">
        <v>1</v>
      </c>
      <c r="C17" s="2" t="n">
        <v>1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2.986</v>
      </c>
    </row>
  </sheetData>
  <autoFilter ref="A1: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Control</t>
        </is>
      </c>
      <c r="B1" s="1" t="inlineStr">
        <is>
          <t>Formula / learner evidence</t>
        </is>
      </c>
    </row>
    <row r="2">
      <c r="A2" s="2" t="inlineStr">
        <is>
          <t>Run count</t>
        </is>
      </c>
      <c r="B2" s="2">
        <f>COUNTA(Raw_Data!A2:A17)</f>
        <v/>
      </c>
    </row>
    <row r="3">
      <c r="A3" s="2" t="inlineStr">
        <is>
          <t>Response mean</t>
        </is>
      </c>
      <c r="B3" s="2">
        <f>AVERAGE(Raw_Data!H2:H17)</f>
        <v/>
      </c>
    </row>
    <row r="4">
      <c r="A4" s="2" t="inlineStr">
        <is>
          <t>Minimum</t>
        </is>
      </c>
      <c r="B4" s="2">
        <f>MIN(Raw_Data!H2:H17)</f>
        <v/>
      </c>
    </row>
    <row r="5">
      <c r="A5" s="2" t="inlineStr">
        <is>
          <t>Maximum</t>
        </is>
      </c>
      <c r="B5" s="2">
        <f>MAX(Raw_Data!H2:H17)</f>
        <v/>
      </c>
    </row>
    <row r="6">
      <c r="A6" s="2" t="inlineStr">
        <is>
          <t>Learner conclusion</t>
        </is>
      </c>
      <c r="B6" s="2" t="inlineStr"/>
    </row>
    <row r="7">
      <c r="A7" s="2" t="inlineStr">
        <is>
          <t>Recommended follow-up</t>
        </is>
      </c>
      <c r="B7" s="2" t="inlineStr"/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Evidence item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NovaDOE setup screenshot</t>
        </is>
      </c>
      <c r="B2" s="2" t="inlineStr">
        <is>
          <t>PENDING</t>
        </is>
      </c>
      <c r="C2" s="2" t="inlineStr"/>
    </row>
    <row r="3">
      <c r="A3" s="2" t="inlineStr">
        <is>
          <t>Exported learner-design.csv</t>
        </is>
      </c>
      <c r="B3" s="2" t="inlineStr">
        <is>
          <t>PENDING</t>
        </is>
      </c>
      <c r="C3" s="2" t="inlineStr"/>
    </row>
    <row r="4">
      <c r="A4" s="2" t="inlineStr">
        <is>
          <t>Completed analysis</t>
        </is>
      </c>
      <c r="B4" s="2" t="inlineStr">
        <is>
          <t>PENDING</t>
        </is>
      </c>
      <c r="C4" s="2" t="inlineStr"/>
    </row>
    <row r="5">
      <c r="A5" s="2" t="inlineStr">
        <is>
          <t>Engineering interpretation</t>
        </is>
      </c>
      <c r="B5" s="2" t="inlineStr">
        <is>
          <t>PENDING</t>
        </is>
      </c>
      <c r="C5" s="2" t="inlineStr"/>
    </row>
    <row r="6">
      <c r="A6" s="2" t="inlineStr">
        <is>
          <t>Follow-up action</t>
        </is>
      </c>
      <c r="B6" s="2" t="inlineStr">
        <is>
          <t>PENDING</t>
        </is>
      </c>
      <c r="C6" s="2" t="inlineStr"/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2026-08-14T18:14:52Z</dcterms:created>
  <dcterms:modified xmlns:dcterms="http://purl.org/dc/terms/" xmlns:xsi="http://www.w3.org/2001/XMLSchema-instance" xsi:type="dcterms:W3CDTF">2026-08-14T18:14:52Z</dcterms:modified>
</cp:coreProperties>
</file>