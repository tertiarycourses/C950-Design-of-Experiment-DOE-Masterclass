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aw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Evidence" sheetId="4" state="visible" r:id="rId4"/>
  </sheets>
  <definedNames>
    <definedName name="_xlnm._FilterDatabase" localSheetId="0" hidden="1">'Instructions'!$A$1:$C$15</definedName>
    <definedName name="_xlnm._FilterDatabase" localSheetId="1" hidden="1">'Raw_Data'!$A$1:$N$13</definedName>
    <definedName name="_xlnm._FilterDatabase" localSheetId="2" hidden="1">'Analysis'!$A$1:$B$7</definedName>
    <definedName name="_xlnm._FilterDatabase" localSheetId="3" hidden="1">'Evidence'!$A$1:$C$6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61B26"/>
      <sz val="10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DOE Lab 07</t>
        </is>
      </c>
      <c r="B1" s="1" t="inlineStr">
        <is>
          <t>Screen Eleven Battery-Process Factors</t>
        </is>
      </c>
      <c r="C1" s="1" t="n"/>
    </row>
    <row r="2">
      <c r="A2" s="2" t="inlineStr">
        <is>
          <t>Criterion</t>
        </is>
      </c>
      <c r="B2" s="2" t="inlineStr">
        <is>
          <t>K2 · K3 · A2 · A3 · A4</t>
        </is>
      </c>
      <c r="C2" s="2" t="n"/>
    </row>
    <row r="3">
      <c r="A3" s="2" t="inlineStr">
        <is>
          <t>NovaDOE method</t>
        </is>
      </c>
      <c r="B3" s="2" t="inlineStr">
        <is>
          <t>NovaDOE Plackett-Burman</t>
        </is>
      </c>
      <c r="C3" s="2" t="n"/>
    </row>
    <row r="4">
      <c r="A4" s="2" t="inlineStr">
        <is>
          <t>Response</t>
        </is>
      </c>
      <c r="B4" s="2" t="inlineStr">
        <is>
          <t>Capacity retention (%)</t>
        </is>
      </c>
      <c r="C4" s="2" t="n"/>
    </row>
    <row r="5">
      <c r="A5" s="2" t="inlineStr">
        <is>
          <t>Scenario</t>
        </is>
      </c>
      <c r="B5" s="2" t="inlineStr">
        <is>
          <t>A battery lab must screen eleven formulation and process factors in twelve runs.</t>
        </is>
      </c>
      <c r="C5" s="2" t="n"/>
    </row>
    <row r="6">
      <c r="A6" s="2" t="n"/>
      <c r="B6" s="2" t="n"/>
      <c r="C6" s="2" t="n"/>
    </row>
    <row r="7">
      <c r="A7" s="2" t="inlineStr">
        <is>
          <t>Detailed procedure</t>
        </is>
      </c>
      <c r="B7" s="2" t="inlineStr">
        <is>
          <t>See README.md and Learner Guide; procedures are intentionally not placed in the slide deck.</t>
        </is>
      </c>
      <c r="C7" s="2" t="n"/>
    </row>
    <row r="8">
      <c r="A8" s="2" t="n">
        <v>1</v>
      </c>
      <c r="B8" s="2" t="inlineStr">
        <is>
          <t>Select Plackett-Burman in NovaDOE.</t>
        </is>
      </c>
      <c r="C8" s="2" t="inlineStr">
        <is>
          <t>Create eleven two-level numeric factors.</t>
        </is>
      </c>
    </row>
    <row r="9">
      <c r="A9" s="2" t="n">
        <v>2</v>
      </c>
      <c r="B9" s="2" t="inlineStr">
        <is>
          <t>Generate a 12-run design.</t>
        </is>
      </c>
      <c r="C9" s="2" t="inlineStr">
        <is>
          <t>Confirm the summary reports 12 runs and 11 factors.</t>
        </is>
      </c>
    </row>
    <row r="10">
      <c r="A10" s="2" t="n">
        <v>3</v>
      </c>
      <c r="B10" s="2" t="inlineStr">
        <is>
          <t>Export the design and join mock capacity-retention results.</t>
        </is>
      </c>
      <c r="C10" s="2" t="inlineStr">
        <is>
          <t>Keep factors in the same order.</t>
        </is>
      </c>
    </row>
    <row r="11">
      <c r="A11" s="2" t="n">
        <v>4</v>
      </c>
      <c r="B11" s="2" t="inlineStr">
        <is>
          <t>Calculate each main-effect contrast.</t>
        </is>
      </c>
      <c r="C11" s="2" t="inlineStr">
        <is>
          <t>Use the high-level average minus low-level average.</t>
        </is>
      </c>
    </row>
    <row r="12">
      <c r="A12" s="2" t="n">
        <v>5</v>
      </c>
      <c r="B12" s="2" t="inlineStr">
        <is>
          <t>Create a ranked effect chart.</t>
        </is>
      </c>
      <c r="C12" s="2" t="inlineStr">
        <is>
          <t>Show absolute magnitude and sign.</t>
        </is>
      </c>
    </row>
    <row r="13">
      <c r="A13" s="2" t="n">
        <v>6</v>
      </c>
      <c r="B13" s="2" t="inlineStr">
        <is>
          <t>Assess interaction contamination risk.</t>
        </is>
      </c>
      <c r="C13" s="2" t="inlineStr">
        <is>
          <t>Use process knowledge to identify plausible two-factor interactions.</t>
        </is>
      </c>
    </row>
    <row r="14">
      <c r="A14" s="2" t="n">
        <v>7</v>
      </c>
      <c r="B14" s="2" t="inlineStr">
        <is>
          <t>Choose three or four factors for follow-up.</t>
        </is>
      </c>
      <c r="C14" s="2" t="inlineStr">
        <is>
          <t>Balance evidence, controllability, safety and cost.</t>
        </is>
      </c>
    </row>
    <row r="15">
      <c r="A15" s="2" t="n">
        <v>8</v>
      </c>
      <c r="B15" s="2" t="inlineStr">
        <is>
          <t>Draft a full or fractional factorial confirmation.</t>
        </is>
      </c>
      <c r="C15" s="2" t="inlineStr">
        <is>
          <t>Do not optimise from the PB model alone.</t>
        </is>
      </c>
    </row>
  </sheetData>
  <autoFilter ref="A1:C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StandardOrder</t>
        </is>
      </c>
      <c r="B1" s="1" t="inlineStr">
        <is>
          <t>RunOrder</t>
        </is>
      </c>
      <c r="C1" s="1" t="inlineStr">
        <is>
          <t>Factor_A</t>
        </is>
      </c>
      <c r="D1" s="1" t="inlineStr">
        <is>
          <t>Factor_B</t>
        </is>
      </c>
      <c r="E1" s="1" t="inlineStr">
        <is>
          <t>Factor_C</t>
        </is>
      </c>
      <c r="F1" s="1" t="inlineStr">
        <is>
          <t>Factor_D</t>
        </is>
      </c>
      <c r="G1" s="1" t="inlineStr">
        <is>
          <t>Factor_E</t>
        </is>
      </c>
      <c r="H1" s="1" t="inlineStr">
        <is>
          <t>Factor_F</t>
        </is>
      </c>
      <c r="I1" s="1" t="inlineStr">
        <is>
          <t>Factor_G</t>
        </is>
      </c>
      <c r="J1" s="1" t="inlineStr">
        <is>
          <t>Factor_H</t>
        </is>
      </c>
      <c r="K1" s="1" t="inlineStr">
        <is>
          <t>Factor_I</t>
        </is>
      </c>
      <c r="L1" s="1" t="inlineStr">
        <is>
          <t>Factor_J</t>
        </is>
      </c>
      <c r="M1" s="1" t="inlineStr">
        <is>
          <t>Factor_K</t>
        </is>
      </c>
      <c r="N1" s="1" t="inlineStr">
        <is>
          <t>Capacity_retention</t>
        </is>
      </c>
    </row>
    <row r="2">
      <c r="A2" s="2" t="n">
        <v>1</v>
      </c>
      <c r="B2" s="2" t="n">
        <v>11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-1</v>
      </c>
      <c r="I2" s="2" t="n">
        <v>1</v>
      </c>
      <c r="J2" s="2" t="n">
        <v>-1</v>
      </c>
      <c r="K2" s="2" t="n">
        <v>-1</v>
      </c>
      <c r="L2" s="2" t="n">
        <v>-1</v>
      </c>
      <c r="M2" s="2" t="n">
        <v>-1</v>
      </c>
      <c r="N2" s="2" t="n">
        <v>81.47</v>
      </c>
    </row>
    <row r="3">
      <c r="A3" s="2" t="n">
        <v>2</v>
      </c>
      <c r="B3" s="2" t="n">
        <v>6</v>
      </c>
      <c r="C3" s="2" t="n">
        <v>-1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1</v>
      </c>
      <c r="I3" s="2" t="n">
        <v>-1</v>
      </c>
      <c r="J3" s="2" t="n">
        <v>1</v>
      </c>
      <c r="K3" s="2" t="n">
        <v>-1</v>
      </c>
      <c r="L3" s="2" t="n">
        <v>-1</v>
      </c>
      <c r="M3" s="2" t="n">
        <v>-1</v>
      </c>
      <c r="N3" s="2" t="n">
        <v>78.06</v>
      </c>
    </row>
    <row r="4">
      <c r="A4" s="2" t="n">
        <v>3</v>
      </c>
      <c r="B4" s="2" t="n">
        <v>10</v>
      </c>
      <c r="C4" s="2" t="n">
        <v>-1</v>
      </c>
      <c r="D4" s="2" t="n">
        <v>-1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-1</v>
      </c>
      <c r="K4" s="2" t="n">
        <v>1</v>
      </c>
      <c r="L4" s="2" t="n">
        <v>-1</v>
      </c>
      <c r="M4" s="2" t="n">
        <v>-1</v>
      </c>
      <c r="N4" s="2" t="n">
        <v>75.92</v>
      </c>
    </row>
    <row r="5">
      <c r="A5" s="2" t="n">
        <v>4</v>
      </c>
      <c r="B5" s="2" t="n">
        <v>8</v>
      </c>
      <c r="C5" s="2" t="n">
        <v>-1</v>
      </c>
      <c r="D5" s="2" t="n">
        <v>-1</v>
      </c>
      <c r="E5" s="2" t="n">
        <v>-1</v>
      </c>
      <c r="F5" s="2" t="n">
        <v>1</v>
      </c>
      <c r="G5" s="2" t="n">
        <v>1</v>
      </c>
      <c r="H5" s="2" t="n">
        <v>1</v>
      </c>
      <c r="I5" s="2" t="n">
        <v>1</v>
      </c>
      <c r="J5" s="2" t="n">
        <v>1</v>
      </c>
      <c r="K5" s="2" t="n">
        <v>-1</v>
      </c>
      <c r="L5" s="2" t="n">
        <v>1</v>
      </c>
      <c r="M5" s="2" t="n">
        <v>-1</v>
      </c>
      <c r="N5" s="2" t="n">
        <v>79.18000000000001</v>
      </c>
    </row>
    <row r="6">
      <c r="A6" s="2" t="n">
        <v>5</v>
      </c>
      <c r="B6" s="2" t="n">
        <v>2</v>
      </c>
      <c r="C6" s="2" t="n">
        <v>-1</v>
      </c>
      <c r="D6" s="2" t="n">
        <v>-1</v>
      </c>
      <c r="E6" s="2" t="n">
        <v>-1</v>
      </c>
      <c r="F6" s="2" t="n">
        <v>-1</v>
      </c>
      <c r="G6" s="2" t="n">
        <v>1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-1</v>
      </c>
      <c r="M6" s="2" t="n">
        <v>1</v>
      </c>
      <c r="N6" s="2" t="n">
        <v>82.93000000000001</v>
      </c>
    </row>
    <row r="7">
      <c r="A7" s="2" t="n">
        <v>6</v>
      </c>
      <c r="B7" s="2" t="n">
        <v>4</v>
      </c>
      <c r="C7" s="2" t="n">
        <v>1</v>
      </c>
      <c r="D7" s="2" t="n">
        <v>-1</v>
      </c>
      <c r="E7" s="2" t="n">
        <v>-1</v>
      </c>
      <c r="F7" s="2" t="n">
        <v>-1</v>
      </c>
      <c r="G7" s="2" t="n">
        <v>-1</v>
      </c>
      <c r="H7" s="2" t="n">
        <v>1</v>
      </c>
      <c r="I7" s="2" t="n">
        <v>1</v>
      </c>
      <c r="J7" s="2" t="n">
        <v>1</v>
      </c>
      <c r="K7" s="2" t="n">
        <v>1</v>
      </c>
      <c r="L7" s="2" t="n">
        <v>1</v>
      </c>
      <c r="M7" s="2" t="n">
        <v>-1</v>
      </c>
      <c r="N7" s="2" t="n">
        <v>87.69</v>
      </c>
    </row>
    <row r="8">
      <c r="A8" s="2" t="n">
        <v>7</v>
      </c>
      <c r="B8" s="2" t="n">
        <v>9</v>
      </c>
      <c r="C8" s="2" t="n">
        <v>-1</v>
      </c>
      <c r="D8" s="2" t="n">
        <v>1</v>
      </c>
      <c r="E8" s="2" t="n">
        <v>-1</v>
      </c>
      <c r="F8" s="2" t="n">
        <v>-1</v>
      </c>
      <c r="G8" s="2" t="n">
        <v>-1</v>
      </c>
      <c r="H8" s="2" t="n">
        <v>-1</v>
      </c>
      <c r="I8" s="2" t="n">
        <v>1</v>
      </c>
      <c r="J8" s="2" t="n">
        <v>1</v>
      </c>
      <c r="K8" s="2" t="n">
        <v>1</v>
      </c>
      <c r="L8" s="2" t="n">
        <v>1</v>
      </c>
      <c r="M8" s="2" t="n">
        <v>1</v>
      </c>
      <c r="N8" s="2" t="n">
        <v>82.40000000000001</v>
      </c>
    </row>
    <row r="9">
      <c r="A9" s="2" t="n">
        <v>8</v>
      </c>
      <c r="B9" s="2" t="n">
        <v>5</v>
      </c>
      <c r="C9" s="2" t="n">
        <v>1</v>
      </c>
      <c r="D9" s="2" t="n">
        <v>-1</v>
      </c>
      <c r="E9" s="2" t="n">
        <v>1</v>
      </c>
      <c r="F9" s="2" t="n">
        <v>-1</v>
      </c>
      <c r="G9" s="2" t="n">
        <v>-1</v>
      </c>
      <c r="H9" s="2" t="n">
        <v>-1</v>
      </c>
      <c r="I9" s="2" t="n">
        <v>-1</v>
      </c>
      <c r="J9" s="2" t="n">
        <v>1</v>
      </c>
      <c r="K9" s="2" t="n">
        <v>1</v>
      </c>
      <c r="L9" s="2" t="n">
        <v>1</v>
      </c>
      <c r="M9" s="2" t="n">
        <v>1</v>
      </c>
      <c r="N9" s="2" t="n">
        <v>87.39</v>
      </c>
    </row>
    <row r="10">
      <c r="A10" s="2" t="n">
        <v>9</v>
      </c>
      <c r="B10" s="2" t="n">
        <v>3</v>
      </c>
      <c r="C10" s="2" t="n">
        <v>1</v>
      </c>
      <c r="D10" s="2" t="n">
        <v>1</v>
      </c>
      <c r="E10" s="2" t="n">
        <v>-1</v>
      </c>
      <c r="F10" s="2" t="n">
        <v>1</v>
      </c>
      <c r="G10" s="2" t="n">
        <v>-1</v>
      </c>
      <c r="H10" s="2" t="n">
        <v>-1</v>
      </c>
      <c r="I10" s="2" t="n">
        <v>-1</v>
      </c>
      <c r="J10" s="2" t="n">
        <v>-1</v>
      </c>
      <c r="K10" s="2" t="n">
        <v>1</v>
      </c>
      <c r="L10" s="2" t="n">
        <v>1</v>
      </c>
      <c r="M10" s="2" t="n">
        <v>1</v>
      </c>
      <c r="N10" s="2" t="n">
        <v>81.58</v>
      </c>
    </row>
    <row r="11">
      <c r="A11" s="2" t="n">
        <v>10</v>
      </c>
      <c r="B11" s="2" t="n">
        <v>1</v>
      </c>
      <c r="C11" s="2" t="n">
        <v>1</v>
      </c>
      <c r="D11" s="2" t="n">
        <v>1</v>
      </c>
      <c r="E11" s="2" t="n">
        <v>1</v>
      </c>
      <c r="F11" s="2" t="n">
        <v>-1</v>
      </c>
      <c r="G11" s="2" t="n">
        <v>1</v>
      </c>
      <c r="H11" s="2" t="n">
        <v>-1</v>
      </c>
      <c r="I11" s="2" t="n">
        <v>-1</v>
      </c>
      <c r="J11" s="2" t="n">
        <v>-1</v>
      </c>
      <c r="K11" s="2" t="n">
        <v>-1</v>
      </c>
      <c r="L11" s="2" t="n">
        <v>1</v>
      </c>
      <c r="M11" s="2" t="n">
        <v>1</v>
      </c>
      <c r="N11" s="2" t="n">
        <v>85.69</v>
      </c>
    </row>
    <row r="12">
      <c r="A12" s="2" t="n">
        <v>11</v>
      </c>
      <c r="B12" s="2" t="n">
        <v>7</v>
      </c>
      <c r="C12" s="2" t="n">
        <v>1</v>
      </c>
      <c r="D12" s="2" t="n">
        <v>1</v>
      </c>
      <c r="E12" s="2" t="n">
        <v>1</v>
      </c>
      <c r="F12" s="2" t="n">
        <v>1</v>
      </c>
      <c r="G12" s="2" t="n">
        <v>-1</v>
      </c>
      <c r="H12" s="2" t="n">
        <v>1</v>
      </c>
      <c r="I12" s="2" t="n">
        <v>-1</v>
      </c>
      <c r="J12" s="2" t="n">
        <v>-1</v>
      </c>
      <c r="K12" s="2" t="n">
        <v>-1</v>
      </c>
      <c r="L12" s="2" t="n">
        <v>-1</v>
      </c>
      <c r="M12" s="2" t="n">
        <v>1</v>
      </c>
      <c r="N12" s="2" t="n">
        <v>81.94</v>
      </c>
    </row>
    <row r="13">
      <c r="A13" s="2" t="n">
        <v>12</v>
      </c>
      <c r="B13" s="2" t="n">
        <v>12</v>
      </c>
      <c r="C13" s="2" t="n">
        <v>-1</v>
      </c>
      <c r="D13" s="2" t="n">
        <v>-1</v>
      </c>
      <c r="E13" s="2" t="n">
        <v>-1</v>
      </c>
      <c r="F13" s="2" t="n">
        <v>-1</v>
      </c>
      <c r="G13" s="2" t="n">
        <v>-1</v>
      </c>
      <c r="H13" s="2" t="n">
        <v>-1</v>
      </c>
      <c r="I13" s="2" t="n">
        <v>-1</v>
      </c>
      <c r="J13" s="2" t="n">
        <v>-1</v>
      </c>
      <c r="K13" s="2" t="n">
        <v>-1</v>
      </c>
      <c r="L13" s="2" t="n">
        <v>-1</v>
      </c>
      <c r="M13" s="2" t="n">
        <v>-1</v>
      </c>
      <c r="N13" s="2" t="n">
        <v>80.54000000000001</v>
      </c>
    </row>
  </sheetData>
  <autoFilter ref="A1:N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</cols>
  <sheetData>
    <row r="1">
      <c r="A1" s="1" t="inlineStr">
        <is>
          <t>Control</t>
        </is>
      </c>
      <c r="B1" s="1" t="inlineStr">
        <is>
          <t>Formula / learner evidence</t>
        </is>
      </c>
    </row>
    <row r="2">
      <c r="A2" s="2" t="inlineStr">
        <is>
          <t>Run count</t>
        </is>
      </c>
      <c r="B2" s="2">
        <f>COUNTA(Raw_Data!A2:A13)</f>
        <v/>
      </c>
    </row>
    <row r="3">
      <c r="A3" s="2" t="inlineStr">
        <is>
          <t>Response mean</t>
        </is>
      </c>
      <c r="B3" s="2">
        <f>AVERAGE(Raw_Data!N2:N13)</f>
        <v/>
      </c>
    </row>
    <row r="4">
      <c r="A4" s="2" t="inlineStr">
        <is>
          <t>Minimum</t>
        </is>
      </c>
      <c r="B4" s="2">
        <f>MIN(Raw_Data!N2:N13)</f>
        <v/>
      </c>
    </row>
    <row r="5">
      <c r="A5" s="2" t="inlineStr">
        <is>
          <t>Maximum</t>
        </is>
      </c>
      <c r="B5" s="2">
        <f>MAX(Raw_Data!N2:N13)</f>
        <v/>
      </c>
    </row>
    <row r="6">
      <c r="A6" s="2" t="inlineStr">
        <is>
          <t>Learner conclusion</t>
        </is>
      </c>
      <c r="B6" s="2" t="inlineStr"/>
    </row>
    <row r="7">
      <c r="A7" s="2" t="inlineStr">
        <is>
          <t>Recommended follow-up</t>
        </is>
      </c>
      <c r="B7" s="2" t="inlineStr"/>
    </row>
  </sheetData>
  <autoFilter ref="A1:B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</cols>
  <sheetData>
    <row r="1">
      <c r="A1" s="1" t="inlineStr">
        <is>
          <t>Evidence item</t>
        </is>
      </c>
      <c r="B1" s="1" t="inlineStr">
        <is>
          <t>Status</t>
        </is>
      </c>
      <c r="C1" s="1" t="inlineStr">
        <is>
          <t>Notes</t>
        </is>
      </c>
    </row>
    <row r="2">
      <c r="A2" s="2" t="inlineStr">
        <is>
          <t>NovaDOE setup screenshot</t>
        </is>
      </c>
      <c r="B2" s="2" t="inlineStr">
        <is>
          <t>PENDING</t>
        </is>
      </c>
      <c r="C2" s="2" t="inlineStr"/>
    </row>
    <row r="3">
      <c r="A3" s="2" t="inlineStr">
        <is>
          <t>Exported learner-design.csv</t>
        </is>
      </c>
      <c r="B3" s="2" t="inlineStr">
        <is>
          <t>PENDING</t>
        </is>
      </c>
      <c r="C3" s="2" t="inlineStr"/>
    </row>
    <row r="4">
      <c r="A4" s="2" t="inlineStr">
        <is>
          <t>Completed analysis</t>
        </is>
      </c>
      <c r="B4" s="2" t="inlineStr">
        <is>
          <t>PENDING</t>
        </is>
      </c>
      <c r="C4" s="2" t="inlineStr"/>
    </row>
    <row r="5">
      <c r="A5" s="2" t="inlineStr">
        <is>
          <t>Engineering interpretation</t>
        </is>
      </c>
      <c r="B5" s="2" t="inlineStr">
        <is>
          <t>PENDING</t>
        </is>
      </c>
      <c r="C5" s="2" t="inlineStr"/>
    </row>
    <row r="6">
      <c r="A6" s="2" t="inlineStr">
        <is>
          <t>Follow-up action</t>
        </is>
      </c>
      <c r="B6" s="2" t="inlineStr">
        <is>
          <t>PENDING</t>
        </is>
      </c>
      <c r="C6" s="2" t="inlineStr"/>
    </row>
  </sheetData>
  <autoFilter ref="A1:C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2026-08-14T18:14:52Z</dcterms:created>
  <dcterms:modified xmlns:dcterms="http://purl.org/dc/terms/" xmlns:xsi="http://www.w3.org/2001/XMLSchema-instance" xsi:type="dcterms:W3CDTF">2026-08-14T18:14:52Z</dcterms:modified>
</cp:coreProperties>
</file>