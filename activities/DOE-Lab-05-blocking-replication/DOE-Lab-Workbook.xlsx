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'Instructions'!$A$1:$C$14</definedName>
    <definedName name="_xlnm._FilterDatabase" localSheetId="1" hidden="1">'Raw_Data'!$A$1:$F$9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05</t>
        </is>
      </c>
      <c r="B1" s="1" t="inlineStr">
        <is>
          <t>Block a Replicated Seal-Strength Experiment</t>
        </is>
      </c>
      <c r="C1" s="1" t="n"/>
    </row>
    <row r="2">
      <c r="A2" s="2" t="inlineStr">
        <is>
          <t>Criterion</t>
        </is>
      </c>
      <c r="B2" s="2" t="inlineStr">
        <is>
          <t>K1 · K2 · A1 · A4</t>
        </is>
      </c>
      <c r="C2" s="2" t="n"/>
    </row>
    <row r="3">
      <c r="A3" s="2" t="inlineStr">
        <is>
          <t>NovaDOE method</t>
        </is>
      </c>
      <c r="B3" s="2" t="inlineStr">
        <is>
          <t>NovaDOE full factorial + blocked run sheet</t>
        </is>
      </c>
      <c r="C3" s="2" t="n"/>
    </row>
    <row r="4">
      <c r="A4" s="2" t="inlineStr">
        <is>
          <t>Response</t>
        </is>
      </c>
      <c r="B4" s="2" t="inlineStr">
        <is>
          <t>Seal strength (N)</t>
        </is>
      </c>
      <c r="C4" s="2" t="n"/>
    </row>
    <row r="5">
      <c r="A5" s="2" t="inlineStr">
        <is>
          <t>Scenario</t>
        </is>
      </c>
      <c r="B5" s="2" t="inlineStr">
        <is>
          <t>Seal trials span morning and afternoon shifts whose ambient conditions differ.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Generate a 2² full factorial in NovaDOE.</t>
        </is>
      </c>
      <c r="C8" s="2" t="inlineStr">
        <is>
          <t>Export the four standard treatments.</t>
        </is>
      </c>
    </row>
    <row r="9">
      <c r="A9" s="2" t="n">
        <v>2</v>
      </c>
      <c r="B9" s="2" t="inlineStr">
        <is>
          <t>Duplicate the design into two blocks.</t>
        </is>
      </c>
      <c r="C9" s="2" t="inlineStr">
        <is>
          <t>Name blocks AM and PM; do not change factor combinations.</t>
        </is>
      </c>
    </row>
    <row r="10">
      <c r="A10" s="2" t="n">
        <v>3</v>
      </c>
      <c r="B10" s="2" t="inlineStr">
        <is>
          <t>Randomise the four runs independently inside each block.</t>
        </is>
      </c>
      <c r="C10" s="2" t="inlineStr">
        <is>
          <t>Use a fixed recorded seed or Excel RAND with values frozen.</t>
        </is>
      </c>
    </row>
    <row r="11">
      <c r="A11" s="2" t="n">
        <v>4</v>
      </c>
      <c r="B11" s="2" t="inlineStr">
        <is>
          <t>Import the response dataset.</t>
        </is>
      </c>
      <c r="C11" s="2" t="inlineStr">
        <is>
          <t>Check every block has each treatment once.</t>
        </is>
      </c>
    </row>
    <row r="12">
      <c r="A12" s="2" t="n">
        <v>5</v>
      </c>
      <c r="B12" s="2" t="inlineStr">
        <is>
          <t>Estimate treatment and block means.</t>
        </is>
      </c>
      <c r="C12" s="2" t="inlineStr">
        <is>
          <t>Use formulas with visible denominators.</t>
        </is>
      </c>
    </row>
    <row r="13">
      <c r="A13" s="2" t="n">
        <v>6</v>
      </c>
      <c r="B13" s="2" t="inlineStr">
        <is>
          <t>Compare models with and without the block term.</t>
        </is>
      </c>
      <c r="C13" s="2" t="inlineStr">
        <is>
          <t>Explain what variation the block absorbs.</t>
        </is>
      </c>
    </row>
    <row r="14">
      <c r="A14" s="2" t="n">
        <v>7</v>
      </c>
      <c r="B14" s="2" t="inlineStr">
        <is>
          <t>Review the deviation log.</t>
        </is>
      </c>
      <c r="C14" s="2" t="inlineStr">
        <is>
          <t>Decide whether any run needs investigation, not silent deletion.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Jaw temperature (°C)</t>
        </is>
      </c>
      <c r="D1" s="1" t="inlineStr">
        <is>
          <t>Dwell time (s)</t>
        </is>
      </c>
      <c r="E1" s="1" t="inlineStr">
        <is>
          <t>Block</t>
        </is>
      </c>
      <c r="F1" s="1" t="inlineStr">
        <is>
          <t>Seal_strength_N</t>
        </is>
      </c>
    </row>
    <row r="2">
      <c r="A2" s="2" t="n">
        <v>1</v>
      </c>
      <c r="B2" s="2" t="n">
        <v>7</v>
      </c>
      <c r="C2" s="2" t="n">
        <v>170</v>
      </c>
      <c r="D2" s="2" t="n">
        <v>0.8</v>
      </c>
      <c r="E2" s="2" t="inlineStr">
        <is>
          <t>AM</t>
        </is>
      </c>
      <c r="F2" s="2" t="n">
        <v>14.53</v>
      </c>
    </row>
    <row r="3">
      <c r="A3" s="2" t="n">
        <v>2</v>
      </c>
      <c r="B3" s="2" t="n">
        <v>2</v>
      </c>
      <c r="C3" s="2" t="n">
        <v>170</v>
      </c>
      <c r="D3" s="2" t="n">
        <v>1.4</v>
      </c>
      <c r="E3" s="2" t="inlineStr">
        <is>
          <t>AM</t>
        </is>
      </c>
      <c r="F3" s="2" t="n">
        <v>17.37</v>
      </c>
    </row>
    <row r="4">
      <c r="A4" s="2" t="n">
        <v>3</v>
      </c>
      <c r="B4" s="2" t="n">
        <v>8</v>
      </c>
      <c r="C4" s="2" t="n">
        <v>190</v>
      </c>
      <c r="D4" s="2" t="n">
        <v>0.8</v>
      </c>
      <c r="E4" s="2" t="inlineStr">
        <is>
          <t>AM</t>
        </is>
      </c>
      <c r="F4" s="2" t="n">
        <v>20.21</v>
      </c>
    </row>
    <row r="5">
      <c r="A5" s="2" t="n">
        <v>4</v>
      </c>
      <c r="B5" s="2" t="n">
        <v>1</v>
      </c>
      <c r="C5" s="2" t="n">
        <v>190</v>
      </c>
      <c r="D5" s="2" t="n">
        <v>1.4</v>
      </c>
      <c r="E5" s="2" t="inlineStr">
        <is>
          <t>AM</t>
        </is>
      </c>
      <c r="F5" s="2" t="n">
        <v>23.09</v>
      </c>
    </row>
    <row r="6">
      <c r="A6" s="2" t="n">
        <v>5</v>
      </c>
      <c r="B6" s="2" t="n">
        <v>4</v>
      </c>
      <c r="C6" s="2" t="n">
        <v>170</v>
      </c>
      <c r="D6" s="2" t="n">
        <v>0.8</v>
      </c>
      <c r="E6" s="2" t="inlineStr">
        <is>
          <t>PM</t>
        </is>
      </c>
      <c r="F6" s="2" t="n">
        <v>17.86</v>
      </c>
    </row>
    <row r="7">
      <c r="A7" s="2" t="n">
        <v>6</v>
      </c>
      <c r="B7" s="2" t="n">
        <v>5</v>
      </c>
      <c r="C7" s="2" t="n">
        <v>170</v>
      </c>
      <c r="D7" s="2" t="n">
        <v>1.4</v>
      </c>
      <c r="E7" s="2" t="inlineStr">
        <is>
          <t>PM</t>
        </is>
      </c>
      <c r="F7" s="2" t="n">
        <v>20.07</v>
      </c>
    </row>
    <row r="8">
      <c r="A8" s="2" t="n">
        <v>7</v>
      </c>
      <c r="B8" s="2" t="n">
        <v>3</v>
      </c>
      <c r="C8" s="2" t="n">
        <v>190</v>
      </c>
      <c r="D8" s="2" t="n">
        <v>0.8</v>
      </c>
      <c r="E8" s="2" t="inlineStr">
        <is>
          <t>PM</t>
        </is>
      </c>
      <c r="F8" s="2" t="n">
        <v>22.54</v>
      </c>
    </row>
    <row r="9">
      <c r="A9" s="2" t="n">
        <v>8</v>
      </c>
      <c r="B9" s="2" t="n">
        <v>6</v>
      </c>
      <c r="C9" s="2" t="n">
        <v>190</v>
      </c>
      <c r="D9" s="2" t="n">
        <v>1.4</v>
      </c>
      <c r="E9" s="2" t="inlineStr">
        <is>
          <t>PM</t>
        </is>
      </c>
      <c r="F9" s="2" t="n">
        <v>26.08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COUNTA(Raw_Data!A2:A9)</f>
        <v/>
      </c>
    </row>
    <row r="3">
      <c r="A3" s="2" t="inlineStr">
        <is>
          <t>Response mean</t>
        </is>
      </c>
      <c r="B3" s="2">
        <f>AVERAGE(Raw_Data!F2:F9)</f>
        <v/>
      </c>
    </row>
    <row r="4">
      <c r="A4" s="2" t="inlineStr">
        <is>
          <t>Minimum</t>
        </is>
      </c>
      <c r="B4" s="2">
        <f>MIN(Raw_Data!F2:F9)</f>
        <v/>
      </c>
    </row>
    <row r="5">
      <c r="A5" s="2" t="inlineStr">
        <is>
          <t>Maximum</t>
        </is>
      </c>
      <c r="B5" s="2">
        <f>MAX(Raw_Data!F2:F9)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