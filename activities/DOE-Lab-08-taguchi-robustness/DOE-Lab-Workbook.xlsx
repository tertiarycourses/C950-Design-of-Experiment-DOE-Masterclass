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'Instructions'!$A$1:$C$15</definedName>
    <definedName name="_xlnm._FilterDatabase" localSheetId="1" hidden="1">'Raw_Data'!$A$1:$H$9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08</t>
        </is>
      </c>
      <c r="B1" s="1" t="inlineStr">
        <is>
          <t>Design a Robust Golf-Ball Process with Taguchi Logic</t>
        </is>
      </c>
      <c r="C1" s="1" t="n"/>
    </row>
    <row r="2">
      <c r="A2" s="2" t="inlineStr">
        <is>
          <t>Criterion</t>
        </is>
      </c>
      <c r="B2" s="2" t="inlineStr">
        <is>
          <t>K3 · A4 · A5 · A6</t>
        </is>
      </c>
      <c r="C2" s="2" t="n"/>
    </row>
    <row r="3">
      <c r="A3" s="2" t="inlineStr">
        <is>
          <t>NovaDOE method</t>
        </is>
      </c>
      <c r="B3" s="2" t="inlineStr">
        <is>
          <t>NovaDOE full/fractional matrix used as an orthogonal-array proxy</t>
        </is>
      </c>
      <c r="C3" s="2" t="n"/>
    </row>
    <row r="4">
      <c r="A4" s="2" t="inlineStr">
        <is>
          <t>Response</t>
        </is>
      </c>
      <c r="B4" s="2" t="inlineStr">
        <is>
          <t>Flight distance (m) under two clubs</t>
        </is>
      </c>
      <c r="C4" s="2" t="n"/>
    </row>
    <row r="5">
      <c r="A5" s="2" t="inlineStr">
        <is>
          <t>Scenario</t>
        </is>
      </c>
      <c r="B5" s="2" t="inlineStr">
        <is>
          <t>A golf-equipment team tests four two-level control factors under Driver and 5-Iron noise conditions.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Generate an eight-run balanced two-level matrix in NovaDOE.</t>
        </is>
      </c>
      <c r="C8" s="2" t="inlineStr">
        <is>
          <t>Use Fractional Factorial for four control factors.</t>
        </is>
      </c>
    </row>
    <row r="9">
      <c r="A9" s="2" t="n">
        <v>2</v>
      </c>
      <c r="B9" s="2" t="inlineStr">
        <is>
          <t>Export CSV and verify level balance.</t>
        </is>
      </c>
      <c r="C9" s="2" t="inlineStr">
        <is>
          <t>Each level should occur equally often per factor.</t>
        </is>
      </c>
    </row>
    <row r="10">
      <c r="A10" s="2" t="n">
        <v>3</v>
      </c>
      <c r="B10" s="2" t="inlineStr">
        <is>
          <t>Join Driver and 5-Iron distance responses.</t>
        </is>
      </c>
      <c r="C10" s="2" t="inlineStr">
        <is>
          <t>Treat club as a planned noise condition.</t>
        </is>
      </c>
    </row>
    <row r="11">
      <c r="A11" s="2" t="n">
        <v>4</v>
      </c>
      <c r="B11" s="2" t="inlineStr">
        <is>
          <t>Calculate run mean and standard deviation.</t>
        </is>
      </c>
      <c r="C11" s="2" t="inlineStr">
        <is>
          <t>Use formulas and consistent units.</t>
        </is>
      </c>
    </row>
    <row r="12">
      <c r="A12" s="2" t="n">
        <v>5</v>
      </c>
      <c r="B12" s="2" t="inlineStr">
        <is>
          <t>Calculate larger-the-better S/N ratio.</t>
        </is>
      </c>
      <c r="C12" s="2" t="inlineStr">
        <is>
          <t>Use -10*LOG10(AVERAGE(1/y²)).</t>
        </is>
      </c>
    </row>
    <row r="13">
      <c r="A13" s="2" t="n">
        <v>6</v>
      </c>
      <c r="B13" s="2" t="inlineStr">
        <is>
          <t>Create factor-response tables for mean and S/N.</t>
        </is>
      </c>
      <c r="C13" s="2" t="inlineStr">
        <is>
          <t>Rank delta across levels.</t>
        </is>
      </c>
    </row>
    <row r="14">
      <c r="A14" s="2" t="n">
        <v>7</v>
      </c>
      <c r="B14" s="2" t="inlineStr">
        <is>
          <t>Choose settings that maximise S/N, then tune mean.</t>
        </is>
      </c>
      <c r="C14" s="2" t="inlineStr">
        <is>
          <t>Explain any trade-off.</t>
        </is>
      </c>
    </row>
    <row r="15">
      <c r="A15" s="2" t="n">
        <v>8</v>
      </c>
      <c r="B15" s="2" t="inlineStr">
        <is>
          <t>Propose a confirmation trial across both noise conditions.</t>
        </is>
      </c>
      <c r="C15" s="2" t="inlineStr">
        <is>
          <t>Set robustness acceptance criteria.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Core material</t>
        </is>
      </c>
      <c r="D1" s="1" t="inlineStr">
        <is>
          <t>Core diameter (mm)</t>
        </is>
      </c>
      <c r="E1" s="1" t="inlineStr">
        <is>
          <t>Dimples</t>
        </is>
      </c>
      <c r="F1" s="1" t="inlineStr">
        <is>
          <t>Cover thickness (mm)</t>
        </is>
      </c>
      <c r="G1" s="1" t="inlineStr">
        <is>
          <t>Driver_m</t>
        </is>
      </c>
      <c r="H1" s="1" t="inlineStr">
        <is>
          <t>FiveIron_m</t>
        </is>
      </c>
    </row>
    <row r="2">
      <c r="A2" s="2" t="n">
        <v>1</v>
      </c>
      <c r="B2" s="2" t="n">
        <v>6</v>
      </c>
      <c r="C2" s="2" t="n">
        <v>-1</v>
      </c>
      <c r="D2" s="2" t="n">
        <v>-1</v>
      </c>
      <c r="E2" s="2" t="n">
        <v>-1</v>
      </c>
      <c r="F2" s="2" t="n">
        <v>-1</v>
      </c>
      <c r="G2" s="2" t="n">
        <v>200.06</v>
      </c>
      <c r="H2" s="2" t="n">
        <v>179.02</v>
      </c>
    </row>
    <row r="3">
      <c r="A3" s="2" t="n">
        <v>2</v>
      </c>
      <c r="B3" s="2" t="n">
        <v>3</v>
      </c>
      <c r="C3" s="2" t="n">
        <v>-1</v>
      </c>
      <c r="D3" s="2" t="n">
        <v>-1</v>
      </c>
      <c r="E3" s="2" t="n">
        <v>1</v>
      </c>
      <c r="F3" s="2" t="n">
        <v>1</v>
      </c>
      <c r="G3" s="2" t="n">
        <v>212.49</v>
      </c>
      <c r="H3" s="2" t="n">
        <v>199.59</v>
      </c>
    </row>
    <row r="4">
      <c r="A4" s="2" t="n">
        <v>3</v>
      </c>
      <c r="B4" s="2" t="n">
        <v>5</v>
      </c>
      <c r="C4" s="2" t="n">
        <v>-1</v>
      </c>
      <c r="D4" s="2" t="n">
        <v>1</v>
      </c>
      <c r="E4" s="2" t="n">
        <v>-1</v>
      </c>
      <c r="F4" s="2" t="n">
        <v>1</v>
      </c>
      <c r="G4" s="2" t="n">
        <v>212.73</v>
      </c>
      <c r="H4" s="2" t="n">
        <v>195.79</v>
      </c>
    </row>
    <row r="5">
      <c r="A5" s="2" t="n">
        <v>4</v>
      </c>
      <c r="B5" s="2" t="n">
        <v>8</v>
      </c>
      <c r="C5" s="2" t="n">
        <v>-1</v>
      </c>
      <c r="D5" s="2" t="n">
        <v>1</v>
      </c>
      <c r="E5" s="2" t="n">
        <v>1</v>
      </c>
      <c r="F5" s="2" t="n">
        <v>-1</v>
      </c>
      <c r="G5" s="2" t="n">
        <v>216.85</v>
      </c>
      <c r="H5" s="2" t="n">
        <v>203.7</v>
      </c>
    </row>
    <row r="6">
      <c r="A6" s="2" t="n">
        <v>5</v>
      </c>
      <c r="B6" s="2" t="n">
        <v>2</v>
      </c>
      <c r="C6" s="2" t="n">
        <v>1</v>
      </c>
      <c r="D6" s="2" t="n">
        <v>-1</v>
      </c>
      <c r="E6" s="2" t="n">
        <v>-1</v>
      </c>
      <c r="F6" s="2" t="n">
        <v>1</v>
      </c>
      <c r="G6" s="2" t="n">
        <v>218.9</v>
      </c>
      <c r="H6" s="2" t="n">
        <v>203.64</v>
      </c>
    </row>
    <row r="7">
      <c r="A7" s="2" t="n">
        <v>6</v>
      </c>
      <c r="B7" s="2" t="n">
        <v>4</v>
      </c>
      <c r="C7" s="2" t="n">
        <v>1</v>
      </c>
      <c r="D7" s="2" t="n">
        <v>-1</v>
      </c>
      <c r="E7" s="2" t="n">
        <v>1</v>
      </c>
      <c r="F7" s="2" t="n">
        <v>-1</v>
      </c>
      <c r="G7" s="2" t="n">
        <v>223.73</v>
      </c>
      <c r="H7" s="2" t="n">
        <v>208.68</v>
      </c>
    </row>
    <row r="8">
      <c r="A8" s="2" t="n">
        <v>7</v>
      </c>
      <c r="B8" s="2" t="n">
        <v>7</v>
      </c>
      <c r="C8" s="2" t="n">
        <v>1</v>
      </c>
      <c r="D8" s="2" t="n">
        <v>1</v>
      </c>
      <c r="E8" s="2" t="n">
        <v>-1</v>
      </c>
      <c r="F8" s="2" t="n">
        <v>-1</v>
      </c>
      <c r="G8" s="2" t="n">
        <v>220.13</v>
      </c>
      <c r="H8" s="2" t="n">
        <v>205.31</v>
      </c>
    </row>
    <row r="9">
      <c r="A9" s="2" t="n">
        <v>8</v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234.2</v>
      </c>
      <c r="H9" s="2" t="n">
        <v>219.99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COUNTA(Raw_Data!A2:A9)</f>
        <v/>
      </c>
    </row>
    <row r="3">
      <c r="A3" s="2" t="inlineStr">
        <is>
          <t>Response mean</t>
        </is>
      </c>
      <c r="B3" s="2">
        <f>AVERAGE(Raw_Data!H2:H9)</f>
        <v/>
      </c>
    </row>
    <row r="4">
      <c r="A4" s="2" t="inlineStr">
        <is>
          <t>Minimum</t>
        </is>
      </c>
      <c r="B4" s="2">
        <f>MIN(Raw_Data!H2:H9)</f>
        <v/>
      </c>
    </row>
    <row r="5">
      <c r="A5" s="2" t="inlineStr">
        <is>
          <t>Maximum</t>
        </is>
      </c>
      <c r="B5" s="2">
        <f>MAX(Raw_Data!H2:H9)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