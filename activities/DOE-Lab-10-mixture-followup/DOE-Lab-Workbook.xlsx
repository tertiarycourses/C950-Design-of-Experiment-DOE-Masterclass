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'Instructions'!$A$1:$C$16</definedName>
    <definedName name="_xlnm._FilterDatabase" localSheetId="1" hidden="1">'Raw_Data'!$A$1:$F$11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10</t>
        </is>
      </c>
      <c r="B1" s="1" t="inlineStr">
        <is>
          <t>Optimise a Three-Component Thermal Paste Mixture</t>
        </is>
      </c>
      <c r="C1" s="1" t="n"/>
    </row>
    <row r="2">
      <c r="A2" s="2" t="inlineStr">
        <is>
          <t>Criterion</t>
        </is>
      </c>
      <c r="B2" s="2" t="inlineStr">
        <is>
          <t>K3 · A3 · A4 · A5 · A6</t>
        </is>
      </c>
      <c r="C2" s="2" t="n"/>
    </row>
    <row r="3">
      <c r="A3" s="2" t="inlineStr">
        <is>
          <t>NovaDOE method</t>
        </is>
      </c>
      <c r="B3" s="2" t="inlineStr">
        <is>
          <t>NovaDOE Latin Hypercube for candidate exploration + simplex filtering</t>
        </is>
      </c>
      <c r="C3" s="2" t="n"/>
    </row>
    <row r="4">
      <c r="A4" s="2" t="inlineStr">
        <is>
          <t>Response</t>
        </is>
      </c>
      <c r="B4" s="2" t="inlineStr">
        <is>
          <t>Thermal conductivity (W/m·K)</t>
        </is>
      </c>
      <c r="C4" s="2" t="n"/>
    </row>
    <row r="5">
      <c r="A5" s="2" t="inlineStr">
        <is>
          <t>Scenario</t>
        </is>
      </c>
      <c r="B5" s="2" t="inlineStr">
        <is>
          <t>A thermal-materials lab blends ceramic filler, binder and additive; proportions must total 100%.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Select Latin Hypercube in NovaDOE.</t>
        </is>
      </c>
      <c r="C8" s="2" t="inlineStr">
        <is>
          <t>Generate at least 40 candidate points for three numeric proportions.</t>
        </is>
      </c>
    </row>
    <row r="9">
      <c r="A9" s="2" t="n">
        <v>2</v>
      </c>
      <c r="B9" s="2" t="inlineStr">
        <is>
          <t>Export the candidate design.</t>
        </is>
      </c>
      <c r="C9" s="2" t="inlineStr">
        <is>
          <t>Treat the values as proportions, not independent production settings.</t>
        </is>
      </c>
    </row>
    <row r="10">
      <c r="A10" s="2" t="n">
        <v>3</v>
      </c>
      <c r="B10" s="2" t="inlineStr">
        <is>
          <t>Normalise each row so the three components sum to 1.</t>
        </is>
      </c>
      <c r="C10" s="2" t="inlineStr">
        <is>
          <t>Use formulas and show the original values.</t>
        </is>
      </c>
    </row>
    <row r="11">
      <c r="A11" s="2" t="n">
        <v>4</v>
      </c>
      <c r="B11" s="2" t="inlineStr">
        <is>
          <t>Filter candidates against component bounds.</t>
        </is>
      </c>
      <c r="C11" s="2" t="inlineStr">
        <is>
          <t>Retain the feasibility flag.</t>
        </is>
      </c>
    </row>
    <row r="12">
      <c r="A12" s="2" t="n">
        <v>5</v>
      </c>
      <c r="B12" s="2" t="inlineStr">
        <is>
          <t>Select a balanced subset spanning vertices, edges and centre-like blends.</t>
        </is>
      </c>
      <c r="C12" s="2" t="inlineStr">
        <is>
          <t>Document the selection rule.</t>
        </is>
      </c>
    </row>
    <row r="13">
      <c r="A13" s="2" t="n">
        <v>6</v>
      </c>
      <c r="B13" s="2" t="inlineStr">
        <is>
          <t>Join the mock response data for the selected blends.</t>
        </is>
      </c>
      <c r="C13" s="2" t="inlineStr">
        <is>
          <t>Do not extrapolate to discarded infeasible candidates.</t>
        </is>
      </c>
    </row>
    <row r="14">
      <c r="A14" s="2" t="n">
        <v>7</v>
      </c>
      <c r="B14" s="2" t="inlineStr">
        <is>
          <t>Fit a simple mixture model and compare predictions.</t>
        </is>
      </c>
      <c r="C14" s="2" t="inlineStr">
        <is>
          <t>Avoid an intercept if using canonical mixture terms.</t>
        </is>
      </c>
    </row>
    <row r="15">
      <c r="A15" s="2" t="n">
        <v>8</v>
      </c>
      <c r="B15" s="2" t="inlineStr">
        <is>
          <t>Recommend a blend and follow-up extreme-vertices experiment.</t>
        </is>
      </c>
      <c r="C15" s="2" t="inlineStr">
        <is>
          <t>State composition tolerance and validation tests.</t>
        </is>
      </c>
    </row>
    <row r="16">
      <c r="A16" s="2" t="n">
        <v>9</v>
      </c>
      <c r="B16" s="2" t="inlineStr">
        <is>
          <t>Review the full portfolio of ten labs.</t>
        </is>
      </c>
      <c r="C16" s="2" t="inlineStr">
        <is>
          <t>Link outcome to A5 evaluation and A6 follow-up actions.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Ceramic filler</t>
        </is>
      </c>
      <c r="D1" s="1" t="inlineStr">
        <is>
          <t>Binder</t>
        </is>
      </c>
      <c r="E1" s="1" t="inlineStr">
        <is>
          <t>Additive</t>
        </is>
      </c>
      <c r="F1" s="1" t="inlineStr">
        <is>
          <t>Thermal_conductivity_W_m_K</t>
        </is>
      </c>
    </row>
    <row r="2">
      <c r="A2" s="2" t="n">
        <v>1</v>
      </c>
      <c r="B2" s="2" t="n">
        <v>4</v>
      </c>
      <c r="C2" s="2" t="n">
        <v>0.7</v>
      </c>
      <c r="D2" s="2" t="n">
        <v>0.25</v>
      </c>
      <c r="E2" s="2" t="n">
        <v>0.05</v>
      </c>
      <c r="F2" s="2" t="n">
        <v>4.796</v>
      </c>
    </row>
    <row r="3">
      <c r="A3" s="2" t="n">
        <v>2</v>
      </c>
      <c r="B3" s="2" t="n">
        <v>9</v>
      </c>
      <c r="C3" s="2" t="n">
        <v>0.45</v>
      </c>
      <c r="D3" s="2" t="n">
        <v>0.5</v>
      </c>
      <c r="E3" s="2" t="n">
        <v>0.05</v>
      </c>
      <c r="F3" s="2" t="n">
        <v>4.272</v>
      </c>
    </row>
    <row r="4">
      <c r="A4" s="2" t="n">
        <v>3</v>
      </c>
      <c r="B4" s="2" t="n">
        <v>1</v>
      </c>
      <c r="C4" s="2" t="n">
        <v>0.58</v>
      </c>
      <c r="D4" s="2" t="n">
        <v>0.32</v>
      </c>
      <c r="E4" s="2" t="n">
        <v>0.1</v>
      </c>
      <c r="F4" s="2" t="n">
        <v>4.679</v>
      </c>
    </row>
    <row r="5">
      <c r="A5" s="2" t="n">
        <v>4</v>
      </c>
      <c r="B5" s="2" t="n">
        <v>7</v>
      </c>
      <c r="C5" s="2" t="n">
        <v>0.6</v>
      </c>
      <c r="D5" s="2" t="n">
        <v>0.38</v>
      </c>
      <c r="E5" s="2" t="n">
        <v>0.02</v>
      </c>
      <c r="F5" s="2" t="n">
        <v>4.539</v>
      </c>
    </row>
    <row r="6">
      <c r="A6" s="2" t="n">
        <v>5</v>
      </c>
      <c r="B6" s="2" t="n">
        <v>3</v>
      </c>
      <c r="C6" s="2" t="n">
        <v>0.5</v>
      </c>
      <c r="D6" s="2" t="n">
        <v>0.42</v>
      </c>
      <c r="E6" s="2" t="n">
        <v>0.08</v>
      </c>
      <c r="F6" s="2" t="n">
        <v>4.46</v>
      </c>
    </row>
    <row r="7">
      <c r="A7" s="2" t="n">
        <v>6</v>
      </c>
      <c r="B7" s="2" t="n">
        <v>6</v>
      </c>
      <c r="C7" s="2" t="n">
        <v>0.65</v>
      </c>
      <c r="D7" s="2" t="n">
        <v>0.28</v>
      </c>
      <c r="E7" s="2" t="n">
        <v>0.07000000000000001</v>
      </c>
      <c r="F7" s="2" t="n">
        <v>4.744</v>
      </c>
    </row>
    <row r="8">
      <c r="A8" s="2" t="n">
        <v>7</v>
      </c>
      <c r="B8" s="2" t="n">
        <v>5</v>
      </c>
      <c r="C8" s="2" t="n">
        <v>0.55</v>
      </c>
      <c r="D8" s="2" t="n">
        <v>0.4</v>
      </c>
      <c r="E8" s="2" t="n">
        <v>0.05</v>
      </c>
      <c r="F8" s="2" t="n">
        <v>4.475</v>
      </c>
    </row>
    <row r="9">
      <c r="A9" s="2" t="n">
        <v>8</v>
      </c>
      <c r="B9" s="2" t="n">
        <v>2</v>
      </c>
      <c r="C9" s="2" t="n">
        <v>0.62</v>
      </c>
      <c r="D9" s="2" t="n">
        <v>0.3</v>
      </c>
      <c r="E9" s="2" t="n">
        <v>0.08</v>
      </c>
      <c r="F9" s="2" t="n">
        <v>4.702</v>
      </c>
    </row>
    <row r="10">
      <c r="A10" s="2" t="n">
        <v>9</v>
      </c>
      <c r="B10" s="2" t="n">
        <v>8</v>
      </c>
      <c r="C10" s="2" t="n">
        <v>0.48</v>
      </c>
      <c r="D10" s="2" t="n">
        <v>0.45</v>
      </c>
      <c r="E10" s="2" t="n">
        <v>0.07000000000000001</v>
      </c>
      <c r="F10" s="2" t="n">
        <v>4.343</v>
      </c>
    </row>
    <row r="11">
      <c r="A11" s="2" t="n">
        <v>10</v>
      </c>
      <c r="B11" s="2" t="n">
        <v>10</v>
      </c>
      <c r="C11" s="2" t="n">
        <v>0.57</v>
      </c>
      <c r="D11" s="2" t="n">
        <v>0.36</v>
      </c>
      <c r="E11" s="2" t="n">
        <v>0.07000000000000001</v>
      </c>
      <c r="F11" s="2" t="n">
        <v>4.597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COUNTA(Raw_Data!A2:A11)</f>
        <v/>
      </c>
    </row>
    <row r="3">
      <c r="A3" s="2" t="inlineStr">
        <is>
          <t>Response mean</t>
        </is>
      </c>
      <c r="B3" s="2">
        <f>AVERAGE(Raw_Data!F2:F11)</f>
        <v/>
      </c>
    </row>
    <row r="4">
      <c r="A4" s="2" t="inlineStr">
        <is>
          <t>Minimum</t>
        </is>
      </c>
      <c r="B4" s="2">
        <f>MIN(Raw_Data!F2:F11)</f>
        <v/>
      </c>
    </row>
    <row r="5">
      <c r="A5" s="2" t="inlineStr">
        <is>
          <t>Maximum</t>
        </is>
      </c>
      <c r="B5" s="2">
        <f>MAX(Raw_Data!F2:F11)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