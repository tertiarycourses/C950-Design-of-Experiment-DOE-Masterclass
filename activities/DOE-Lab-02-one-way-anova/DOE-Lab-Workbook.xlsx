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'Instructions'!$A$1:$C$14</definedName>
    <definedName name="_xlnm._FilterDatabase" localSheetId="1" hidden="1">'Raw_Data'!$A$1:$D$21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02</t>
        </is>
      </c>
      <c r="B1" s="1" t="inlineStr">
        <is>
          <t>Compare Coating Cure Temperatures with One-Way ANOVA</t>
        </is>
      </c>
      <c r="C1" s="1" t="n"/>
    </row>
    <row r="2">
      <c r="A2" s="2" t="inlineStr">
        <is>
          <t>Criterion</t>
        </is>
      </c>
      <c r="B2" s="2" t="inlineStr">
        <is>
          <t>K1 · K2 · A1</t>
        </is>
      </c>
      <c r="C2" s="2" t="n"/>
    </row>
    <row r="3">
      <c r="A3" s="2" t="inlineStr">
        <is>
          <t>NovaDOE method</t>
        </is>
      </c>
      <c r="B3" s="2" t="inlineStr">
        <is>
          <t>NovaDOE full factorial (one 4-level categorical factor) + Excel ANOVA</t>
        </is>
      </c>
      <c r="C3" s="2" t="n"/>
    </row>
    <row r="4">
      <c r="A4" s="2" t="inlineStr">
        <is>
          <t>Response</t>
        </is>
      </c>
      <c r="B4" s="2" t="inlineStr">
        <is>
          <t>Adhesion strength (N/mm)</t>
        </is>
      </c>
      <c r="C4" s="2" t="n"/>
    </row>
    <row r="5">
      <c r="A5" s="2" t="inlineStr">
        <is>
          <t>Scenario</t>
        </is>
      </c>
      <c r="B5" s="2" t="inlineStr">
        <is>
          <t>A coating line compares four cure temperatures using adhesion strength from replicated coupons.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Choose Full Factorial in NovaDOE.</t>
        </is>
      </c>
      <c r="C8" s="2" t="inlineStr">
        <is>
          <t>Create a categorical factor with 140, 150, 160 and 170 °C levels.</t>
        </is>
      </c>
    </row>
    <row r="9">
      <c r="A9" s="2" t="n">
        <v>2</v>
      </c>
      <c r="B9" s="2" t="inlineStr">
        <is>
          <t>Generate the design and export CSV.</t>
        </is>
      </c>
      <c r="C9" s="2" t="inlineStr">
        <is>
          <t>Retain the level labels.</t>
        </is>
      </c>
    </row>
    <row r="10">
      <c r="A10" s="2" t="n">
        <v>3</v>
      </c>
      <c r="B10" s="2" t="inlineStr">
        <is>
          <t>Open mock-data.csv and inspect the five replicates per level.</t>
        </is>
      </c>
      <c r="C10" s="2" t="inlineStr">
        <is>
          <t>Flag any missing or impossible values.</t>
        </is>
      </c>
    </row>
    <row r="11">
      <c r="A11" s="2" t="n">
        <v>4</v>
      </c>
      <c r="B11" s="2" t="inlineStr">
        <is>
          <t>Paste or link the data into the workbook Raw_Data sheet.</t>
        </is>
      </c>
      <c r="C11" s="2" t="inlineStr">
        <is>
          <t>Keep the source table unchanged.</t>
        </is>
      </c>
    </row>
    <row r="12">
      <c r="A12" s="2" t="n">
        <v>5</v>
      </c>
      <c r="B12" s="2" t="inlineStr">
        <is>
          <t>Calculate group count, mean and standard deviation.</t>
        </is>
      </c>
      <c r="C12" s="2" t="inlineStr">
        <is>
          <t>Use Excel formulas in the Analysis sheet.</t>
        </is>
      </c>
    </row>
    <row r="13">
      <c r="A13" s="2" t="n">
        <v>6</v>
      </c>
      <c r="B13" s="2" t="inlineStr">
        <is>
          <t>Run Data Analysis &gt; ANOVA: Single Factor.</t>
        </is>
      </c>
      <c r="C13" s="2" t="inlineStr">
        <is>
          <t>Use alpha = 0.05 and include labels.</t>
        </is>
      </c>
    </row>
    <row r="14">
      <c r="A14" s="2" t="n">
        <v>7</v>
      </c>
      <c r="B14" s="2" t="inlineStr">
        <is>
          <t>Interpret F, p-value and practical difference.</t>
        </is>
      </c>
      <c r="C14" s="2" t="inlineStr">
        <is>
          <t>State whether follow-up comparisons are warranted.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Cure temperature (°C)</t>
        </is>
      </c>
      <c r="D1" s="1" t="inlineStr">
        <is>
          <t>Adhesion_strength_N_mm</t>
        </is>
      </c>
    </row>
    <row r="2">
      <c r="A2" s="2" t="n">
        <v>1</v>
      </c>
      <c r="B2" s="2" t="n">
        <v>6</v>
      </c>
      <c r="C2" s="2" t="n">
        <v>140</v>
      </c>
      <c r="D2" s="2" t="n">
        <v>18.68</v>
      </c>
    </row>
    <row r="3">
      <c r="A3" s="2" t="n">
        <v>2</v>
      </c>
      <c r="B3" s="2" t="n">
        <v>1</v>
      </c>
      <c r="C3" s="2" t="n">
        <v>140</v>
      </c>
      <c r="D3" s="2" t="n">
        <v>19.39</v>
      </c>
    </row>
    <row r="4">
      <c r="A4" s="2" t="n">
        <v>3</v>
      </c>
      <c r="B4" s="2" t="n">
        <v>2</v>
      </c>
      <c r="C4" s="2" t="n">
        <v>140</v>
      </c>
      <c r="D4" s="2" t="n">
        <v>17.02</v>
      </c>
    </row>
    <row r="5">
      <c r="A5" s="2" t="n">
        <v>4</v>
      </c>
      <c r="B5" s="2" t="n">
        <v>14</v>
      </c>
      <c r="C5" s="2" t="n">
        <v>140</v>
      </c>
      <c r="D5" s="2" t="n">
        <v>17.76</v>
      </c>
    </row>
    <row r="6">
      <c r="A6" s="2" t="n">
        <v>5</v>
      </c>
      <c r="B6" s="2" t="n">
        <v>8</v>
      </c>
      <c r="C6" s="2" t="n">
        <v>140</v>
      </c>
      <c r="D6" s="2" t="n">
        <v>17.58</v>
      </c>
    </row>
    <row r="7">
      <c r="A7" s="2" t="n">
        <v>6</v>
      </c>
      <c r="B7" s="2" t="n">
        <v>12</v>
      </c>
      <c r="C7" s="2" t="n">
        <v>150</v>
      </c>
      <c r="D7" s="2" t="n">
        <v>22.17</v>
      </c>
    </row>
    <row r="8">
      <c r="A8" s="2" t="n">
        <v>7</v>
      </c>
      <c r="B8" s="2" t="n">
        <v>7</v>
      </c>
      <c r="C8" s="2" t="n">
        <v>150</v>
      </c>
      <c r="D8" s="2" t="n">
        <v>22.16</v>
      </c>
    </row>
    <row r="9">
      <c r="A9" s="2" t="n">
        <v>8</v>
      </c>
      <c r="B9" s="2" t="n">
        <v>18</v>
      </c>
      <c r="C9" s="2" t="n">
        <v>150</v>
      </c>
      <c r="D9" s="2" t="n">
        <v>20.52</v>
      </c>
    </row>
    <row r="10">
      <c r="A10" s="2" t="n">
        <v>9</v>
      </c>
      <c r="B10" s="2" t="n">
        <v>17</v>
      </c>
      <c r="C10" s="2" t="n">
        <v>150</v>
      </c>
      <c r="D10" s="2" t="n">
        <v>21.97</v>
      </c>
    </row>
    <row r="11">
      <c r="A11" s="2" t="n">
        <v>10</v>
      </c>
      <c r="B11" s="2" t="n">
        <v>19</v>
      </c>
      <c r="C11" s="2" t="n">
        <v>150</v>
      </c>
      <c r="D11" s="2" t="n">
        <v>20.67</v>
      </c>
    </row>
    <row r="12">
      <c r="A12" s="2" t="n">
        <v>11</v>
      </c>
      <c r="B12" s="2" t="n">
        <v>4</v>
      </c>
      <c r="C12" s="2" t="n">
        <v>160</v>
      </c>
      <c r="D12" s="2" t="n">
        <v>26.1</v>
      </c>
    </row>
    <row r="13">
      <c r="A13" s="2" t="n">
        <v>12</v>
      </c>
      <c r="B13" s="2" t="n">
        <v>10</v>
      </c>
      <c r="C13" s="2" t="n">
        <v>160</v>
      </c>
      <c r="D13" s="2" t="n">
        <v>26.69</v>
      </c>
    </row>
    <row r="14">
      <c r="A14" s="2" t="n">
        <v>13</v>
      </c>
      <c r="B14" s="2" t="n">
        <v>20</v>
      </c>
      <c r="C14" s="2" t="n">
        <v>160</v>
      </c>
      <c r="D14" s="2" t="n">
        <v>24.79</v>
      </c>
    </row>
    <row r="15">
      <c r="A15" s="2" t="n">
        <v>14</v>
      </c>
      <c r="B15" s="2" t="n">
        <v>15</v>
      </c>
      <c r="C15" s="2" t="n">
        <v>160</v>
      </c>
      <c r="D15" s="2" t="n">
        <v>25.28</v>
      </c>
    </row>
    <row r="16">
      <c r="A16" s="2" t="n">
        <v>15</v>
      </c>
      <c r="B16" s="2" t="n">
        <v>11</v>
      </c>
      <c r="C16" s="2" t="n">
        <v>160</v>
      </c>
      <c r="D16" s="2" t="n">
        <v>26.59</v>
      </c>
    </row>
    <row r="17">
      <c r="A17" s="2" t="n">
        <v>16</v>
      </c>
      <c r="B17" s="2" t="n">
        <v>5</v>
      </c>
      <c r="C17" s="2" t="n">
        <v>170</v>
      </c>
      <c r="D17" s="2" t="n">
        <v>24.12</v>
      </c>
    </row>
    <row r="18">
      <c r="A18" s="2" t="n">
        <v>17</v>
      </c>
      <c r="B18" s="2" t="n">
        <v>3</v>
      </c>
      <c r="C18" s="2" t="n">
        <v>170</v>
      </c>
      <c r="D18" s="2" t="n">
        <v>23.13</v>
      </c>
    </row>
    <row r="19">
      <c r="A19" s="2" t="n">
        <v>18</v>
      </c>
      <c r="B19" s="2" t="n">
        <v>16</v>
      </c>
      <c r="C19" s="2" t="n">
        <v>170</v>
      </c>
      <c r="D19" s="2" t="n">
        <v>23.41</v>
      </c>
    </row>
    <row r="20">
      <c r="A20" s="2" t="n">
        <v>19</v>
      </c>
      <c r="B20" s="2" t="n">
        <v>13</v>
      </c>
      <c r="C20" s="2" t="n">
        <v>170</v>
      </c>
      <c r="D20" s="2" t="n">
        <v>24.06</v>
      </c>
    </row>
    <row r="21">
      <c r="A21" s="2" t="n">
        <v>20</v>
      </c>
      <c r="B21" s="2" t="n">
        <v>9</v>
      </c>
      <c r="C21" s="2" t="n">
        <v>170</v>
      </c>
      <c r="D21" s="2" t="n">
        <v>25.05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COUNTA(Raw_Data!A2:A21)</f>
        <v/>
      </c>
    </row>
    <row r="3">
      <c r="A3" s="2" t="inlineStr">
        <is>
          <t>Response mean</t>
        </is>
      </c>
      <c r="B3" s="2">
        <f>AVERAGE(Raw_Data!D2:D21)</f>
        <v/>
      </c>
    </row>
    <row r="4">
      <c r="A4" s="2" t="inlineStr">
        <is>
          <t>Minimum</t>
        </is>
      </c>
      <c r="B4" s="2">
        <f>MIN(Raw_Data!D2:D21)</f>
        <v/>
      </c>
    </row>
    <row r="5">
      <c r="A5" s="2" t="inlineStr">
        <is>
          <t>Maximum</t>
        </is>
      </c>
      <c r="B5" s="2">
        <f>MAX(Raw_Data!D2:D21)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