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'Instructions'!$A$1:$C$16</definedName>
    <definedName name="_xlnm._FilterDatabase" localSheetId="1" hidden="1">'Raw_Data'!$A$1:$F$20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09</t>
        </is>
      </c>
      <c r="B1" s="1" t="inlineStr">
        <is>
          <t>Optimise Sterile-Package Seal Strength with CCD</t>
        </is>
      </c>
      <c r="C1" s="1" t="n"/>
    </row>
    <row r="2">
      <c r="A2" s="2" t="inlineStr">
        <is>
          <t>Criterion</t>
        </is>
      </c>
      <c r="B2" s="2" t="inlineStr">
        <is>
          <t>K2 · K3 · A3 · A4 · A5 · A6</t>
        </is>
      </c>
      <c r="C2" s="2" t="n"/>
    </row>
    <row r="3">
      <c r="A3" s="2" t="inlineStr">
        <is>
          <t>NovaDOE method</t>
        </is>
      </c>
      <c r="B3" s="2" t="inlineStr">
        <is>
          <t>NovaDOE Central Composite</t>
        </is>
      </c>
      <c r="C3" s="2" t="n"/>
    </row>
    <row r="4">
      <c r="A4" s="2" t="inlineStr">
        <is>
          <t>Response</t>
        </is>
      </c>
      <c r="B4" s="2" t="inlineStr">
        <is>
          <t>Seal strength (N)</t>
        </is>
      </c>
      <c r="C4" s="2" t="n"/>
    </row>
    <row r="5">
      <c r="A5" s="2" t="inlineStr">
        <is>
          <t>Scenario</t>
        </is>
      </c>
      <c r="B5" s="2" t="inlineStr">
        <is>
          <t>A medical-packaging engineer targets seal strength of 26 N within an acceptable 20–32 N range.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Select Central Composite in NovaDOE.</t>
        </is>
      </c>
      <c r="C8" s="2" t="inlineStr">
        <is>
          <t>Add three numeric factors with low/high bounds.</t>
        </is>
      </c>
    </row>
    <row r="9">
      <c r="A9" s="2" t="n">
        <v>2</v>
      </c>
      <c r="B9" s="2" t="inlineStr">
        <is>
          <t>Choose face-centred or circumscribed geometry based on safe limits.</t>
        </is>
      </c>
      <c r="C9" s="2" t="inlineStr">
        <is>
          <t>Record the chosen CCD type and centre points.</t>
        </is>
      </c>
    </row>
    <row r="10">
      <c r="A10" s="2" t="n">
        <v>3</v>
      </c>
      <c r="B10" s="2" t="inlineStr">
        <is>
          <t>Generate and export the design.</t>
        </is>
      </c>
      <c r="C10" s="2" t="inlineStr">
        <is>
          <t>Verify factorial, axial and centre runs are present.</t>
        </is>
      </c>
    </row>
    <row r="11">
      <c r="A11" s="2" t="n">
        <v>4</v>
      </c>
      <c r="B11" s="2" t="inlineStr">
        <is>
          <t>Join mock seal-strength responses.</t>
        </is>
      </c>
      <c r="C11" s="2" t="inlineStr">
        <is>
          <t>Flag values outside 20–32 N without deleting them.</t>
        </is>
      </c>
    </row>
    <row r="12">
      <c r="A12" s="2" t="n">
        <v>5</v>
      </c>
      <c r="B12" s="2" t="inlineStr">
        <is>
          <t>Create linear, interaction and squared columns.</t>
        </is>
      </c>
      <c r="C12" s="2" t="inlineStr">
        <is>
          <t>Use coded factor levels.</t>
        </is>
      </c>
    </row>
    <row r="13">
      <c r="A13" s="2" t="n">
        <v>6</v>
      </c>
      <c r="B13" s="2" t="inlineStr">
        <is>
          <t>Fit the quadratic model with Excel Regression or LINEST.</t>
        </is>
      </c>
      <c r="C13" s="2" t="inlineStr">
        <is>
          <t>Retain hierarchy and inspect residuals.</t>
        </is>
      </c>
    </row>
    <row r="14">
      <c r="A14" s="2" t="n">
        <v>7</v>
      </c>
      <c r="B14" s="2" t="inlineStr">
        <is>
          <t>Create contour-ready prediction grids.</t>
        </is>
      </c>
      <c r="C14" s="2" t="inlineStr">
        <is>
          <t>Keep predictions within the experimental region.</t>
        </is>
      </c>
    </row>
    <row r="15">
      <c r="A15" s="2" t="n">
        <v>8</v>
      </c>
      <c r="B15" s="2" t="inlineStr">
        <is>
          <t>Select settings closest to 26 N with low sensitivity.</t>
        </is>
      </c>
      <c r="C15" s="2" t="inlineStr">
        <is>
          <t>Balance target achievement and robustness.</t>
        </is>
      </c>
    </row>
    <row r="16">
      <c r="A16" s="2" t="n">
        <v>9</v>
      </c>
      <c r="B16" s="2" t="inlineStr">
        <is>
          <t>Define and evaluate confirmation trials.</t>
        </is>
      </c>
      <c r="C16" s="2" t="inlineStr">
        <is>
          <t>Compare observed with predicted interval.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Hot-bar temp (°C)</t>
        </is>
      </c>
      <c r="D1" s="1" t="inlineStr">
        <is>
          <t>Dwell time (s)</t>
        </is>
      </c>
      <c r="E1" s="1" t="inlineStr">
        <is>
          <t>Pressure (bar)</t>
        </is>
      </c>
      <c r="F1" s="1" t="inlineStr">
        <is>
          <t>Seal_strength_N</t>
        </is>
      </c>
    </row>
    <row r="2">
      <c r="A2" s="2" t="n">
        <v>1</v>
      </c>
      <c r="B2" s="2" t="n">
        <v>14</v>
      </c>
      <c r="C2" s="2" t="n">
        <v>-1</v>
      </c>
      <c r="D2" s="2" t="n">
        <v>-1</v>
      </c>
      <c r="E2" s="2" t="n">
        <v>-1</v>
      </c>
      <c r="F2" s="2" t="n">
        <v>17.85</v>
      </c>
    </row>
    <row r="3">
      <c r="A3" s="2" t="n">
        <v>2</v>
      </c>
      <c r="B3" s="2" t="n">
        <v>15</v>
      </c>
      <c r="C3" s="2" t="n">
        <v>-1</v>
      </c>
      <c r="D3" s="2" t="n">
        <v>-1</v>
      </c>
      <c r="E3" s="2" t="n">
        <v>1</v>
      </c>
      <c r="F3" s="2" t="n">
        <v>20.01</v>
      </c>
    </row>
    <row r="4">
      <c r="A4" s="2" t="n">
        <v>3</v>
      </c>
      <c r="B4" s="2" t="n">
        <v>3</v>
      </c>
      <c r="C4" s="2" t="n">
        <v>-1</v>
      </c>
      <c r="D4" s="2" t="n">
        <v>1</v>
      </c>
      <c r="E4" s="2" t="n">
        <v>-1</v>
      </c>
      <c r="F4" s="2" t="n">
        <v>19.88</v>
      </c>
    </row>
    <row r="5">
      <c r="A5" s="2" t="n">
        <v>4</v>
      </c>
      <c r="B5" s="2" t="n">
        <v>6</v>
      </c>
      <c r="C5" s="2" t="n">
        <v>-1</v>
      </c>
      <c r="D5" s="2" t="n">
        <v>1</v>
      </c>
      <c r="E5" s="2" t="n">
        <v>1</v>
      </c>
      <c r="F5" s="2" t="n">
        <v>21.72</v>
      </c>
    </row>
    <row r="6">
      <c r="A6" s="2" t="n">
        <v>5</v>
      </c>
      <c r="B6" s="2" t="n">
        <v>12</v>
      </c>
      <c r="C6" s="2" t="n">
        <v>1</v>
      </c>
      <c r="D6" s="2" t="n">
        <v>-1</v>
      </c>
      <c r="E6" s="2" t="n">
        <v>-1</v>
      </c>
      <c r="F6" s="2" t="n">
        <v>21.26</v>
      </c>
    </row>
    <row r="7">
      <c r="A7" s="2" t="n">
        <v>6</v>
      </c>
      <c r="B7" s="2" t="n">
        <v>4</v>
      </c>
      <c r="C7" s="2" t="n">
        <v>1</v>
      </c>
      <c r="D7" s="2" t="n">
        <v>-1</v>
      </c>
      <c r="E7" s="2" t="n">
        <v>1</v>
      </c>
      <c r="F7" s="2" t="n">
        <v>23.41</v>
      </c>
    </row>
    <row r="8">
      <c r="A8" s="2" t="n">
        <v>7</v>
      </c>
      <c r="B8" s="2" t="n">
        <v>2</v>
      </c>
      <c r="C8" s="2" t="n">
        <v>1</v>
      </c>
      <c r="D8" s="2" t="n">
        <v>1</v>
      </c>
      <c r="E8" s="2" t="n">
        <v>-1</v>
      </c>
      <c r="F8" s="2" t="n">
        <v>25.36</v>
      </c>
    </row>
    <row r="9">
      <c r="A9" s="2" t="n">
        <v>8</v>
      </c>
      <c r="B9" s="2" t="n">
        <v>16</v>
      </c>
      <c r="C9" s="2" t="n">
        <v>1</v>
      </c>
      <c r="D9" s="2" t="n">
        <v>1</v>
      </c>
      <c r="E9" s="2" t="n">
        <v>1</v>
      </c>
      <c r="F9" s="2" t="n">
        <v>26.78</v>
      </c>
    </row>
    <row r="10">
      <c r="A10" s="2" t="n">
        <v>9</v>
      </c>
      <c r="B10" s="2" t="n">
        <v>9</v>
      </c>
      <c r="C10" s="2" t="n">
        <v>-1.414</v>
      </c>
      <c r="D10" s="2" t="n">
        <v>0</v>
      </c>
      <c r="E10" s="2" t="n">
        <v>0</v>
      </c>
      <c r="F10" s="2" t="n">
        <v>18.63</v>
      </c>
    </row>
    <row r="11">
      <c r="A11" s="2" t="n">
        <v>10</v>
      </c>
      <c r="B11" s="2" t="n">
        <v>11</v>
      </c>
      <c r="C11" s="2" t="n">
        <v>1.414</v>
      </c>
      <c r="D11" s="2" t="n">
        <v>0</v>
      </c>
      <c r="E11" s="2" t="n">
        <v>0</v>
      </c>
      <c r="F11" s="2" t="n">
        <v>24.62</v>
      </c>
    </row>
    <row r="12">
      <c r="A12" s="2" t="n">
        <v>11</v>
      </c>
      <c r="B12" s="2" t="n">
        <v>17</v>
      </c>
      <c r="C12" s="2" t="n">
        <v>0</v>
      </c>
      <c r="D12" s="2" t="n">
        <v>-1.414</v>
      </c>
      <c r="E12" s="2" t="n">
        <v>0</v>
      </c>
      <c r="F12" s="2" t="n">
        <v>21.77</v>
      </c>
    </row>
    <row r="13">
      <c r="A13" s="2" t="n">
        <v>12</v>
      </c>
      <c r="B13" s="2" t="n">
        <v>5</v>
      </c>
      <c r="C13" s="2" t="n">
        <v>0</v>
      </c>
      <c r="D13" s="2" t="n">
        <v>1.414</v>
      </c>
      <c r="E13" s="2" t="n">
        <v>0</v>
      </c>
      <c r="F13" s="2" t="n">
        <v>25.37</v>
      </c>
    </row>
    <row r="14">
      <c r="A14" s="2" t="n">
        <v>13</v>
      </c>
      <c r="B14" s="2" t="n">
        <v>10</v>
      </c>
      <c r="C14" s="2" t="n">
        <v>0</v>
      </c>
      <c r="D14" s="2" t="n">
        <v>0</v>
      </c>
      <c r="E14" s="2" t="n">
        <v>-1.414</v>
      </c>
      <c r="F14" s="2" t="n">
        <v>23.74</v>
      </c>
    </row>
    <row r="15">
      <c r="A15" s="2" t="n">
        <v>14</v>
      </c>
      <c r="B15" s="2" t="n">
        <v>18</v>
      </c>
      <c r="C15" s="2" t="n">
        <v>0</v>
      </c>
      <c r="D15" s="2" t="n">
        <v>0</v>
      </c>
      <c r="E15" s="2" t="n">
        <v>1.414</v>
      </c>
      <c r="F15" s="2" t="n">
        <v>25.81</v>
      </c>
    </row>
    <row r="16">
      <c r="A16" s="2" t="n">
        <v>15</v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25.86</v>
      </c>
    </row>
    <row r="17">
      <c r="A17" s="2" t="n">
        <v>16</v>
      </c>
      <c r="B17" s="2" t="n">
        <v>8</v>
      </c>
      <c r="C17" s="2" t="n">
        <v>0</v>
      </c>
      <c r="D17" s="2" t="n">
        <v>0</v>
      </c>
      <c r="E17" s="2" t="n">
        <v>0</v>
      </c>
      <c r="F17" s="2" t="n">
        <v>26.15</v>
      </c>
    </row>
    <row r="18">
      <c r="A18" s="2" t="n">
        <v>17</v>
      </c>
      <c r="B18" s="2" t="n">
        <v>19</v>
      </c>
      <c r="C18" s="2" t="n">
        <v>0</v>
      </c>
      <c r="D18" s="2" t="n">
        <v>0</v>
      </c>
      <c r="E18" s="2" t="n">
        <v>0</v>
      </c>
      <c r="F18" s="2" t="n">
        <v>26.07</v>
      </c>
    </row>
    <row r="19">
      <c r="A19" s="2" t="n">
        <v>18</v>
      </c>
      <c r="B19" s="2" t="n">
        <v>13</v>
      </c>
      <c r="C19" s="2" t="n">
        <v>0</v>
      </c>
      <c r="D19" s="2" t="n">
        <v>0</v>
      </c>
      <c r="E19" s="2" t="n">
        <v>0</v>
      </c>
      <c r="F19" s="2" t="n">
        <v>26.24</v>
      </c>
    </row>
    <row r="20">
      <c r="A20" s="2" t="n">
        <v>19</v>
      </c>
      <c r="B20" s="2" t="n">
        <v>7</v>
      </c>
      <c r="C20" s="2" t="n">
        <v>0</v>
      </c>
      <c r="D20" s="2" t="n">
        <v>0</v>
      </c>
      <c r="E20" s="2" t="n">
        <v>0</v>
      </c>
      <c r="F20" s="2" t="n">
        <v>25.67</v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COUNTA(Raw_Data!A2:A20)</f>
        <v/>
      </c>
    </row>
    <row r="3">
      <c r="A3" s="2" t="inlineStr">
        <is>
          <t>Response mean</t>
        </is>
      </c>
      <c r="B3" s="2">
        <f>AVERAGE(Raw_Data!F2:F20)</f>
        <v/>
      </c>
    </row>
    <row r="4">
      <c r="A4" s="2" t="inlineStr">
        <is>
          <t>Minimum</t>
        </is>
      </c>
      <c r="B4" s="2">
        <f>MIN(Raw_Data!F2:F20)</f>
        <v/>
      </c>
    </row>
    <row r="5">
      <c r="A5" s="2" t="inlineStr">
        <is>
          <t>Maximum</t>
        </is>
      </c>
      <c r="B5" s="2">
        <f>MAX(Raw_Data!F2:F20)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